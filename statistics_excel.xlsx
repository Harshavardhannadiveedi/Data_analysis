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46338DDC-ABA6-43AE-9D41-C304B0B2CDA3}" xr6:coauthVersionLast="47" xr6:coauthVersionMax="47" xr10:uidLastSave="{00000000-0000-0000-0000-000000000000}"/>
  <bookViews>
    <workbookView xWindow="-120" yWindow="-120" windowWidth="29040" windowHeight="15720" firstSheet="1" activeTab="7" xr2:uid="{E92E2E75-864E-434C-A1AE-4154FF778876}"/>
  </bookViews>
  <sheets>
    <sheet name="RANDOM SAMPLING" sheetId="1" r:id="rId1"/>
    <sheet name="SYSTEMATIC SAMPLING" sheetId="2" r:id="rId2"/>
    <sheet name="STRATIFIED SAMPLING" sheetId="3" r:id="rId3"/>
    <sheet name="CLUSTER RANDOM SAMPLING" sheetId="4" r:id="rId4"/>
    <sheet name="Probability" sheetId="6" r:id="rId5"/>
    <sheet name="Dice" sheetId="7" r:id="rId6"/>
    <sheet name="Sheet2" sheetId="8" r:id="rId7"/>
    <sheet name="Bayes_Theorem" sheetId="9" r:id="rId8"/>
  </sheets>
  <definedNames>
    <definedName name="_xlchart.v1.0" hidden="1">Bayes_Theorem!$W$2:$W$33</definedName>
    <definedName name="_xlchart.v1.1" hidden="1">Bayes_Theorem!$W$2:$W$33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7" i="9" l="1"/>
  <c r="W36" i="9"/>
  <c r="U16" i="9"/>
  <c r="S16" i="9"/>
  <c r="Q16" i="9"/>
  <c r="U13" i="9"/>
  <c r="S13" i="9"/>
  <c r="Q13" i="9"/>
  <c r="E14" i="9"/>
  <c r="E17" i="9" s="1"/>
  <c r="E15" i="9"/>
  <c r="E11" i="9"/>
  <c r="E7" i="9"/>
  <c r="D6" i="8"/>
  <c r="D5" i="8"/>
  <c r="D3" i="8"/>
  <c r="A2" i="8" a="1"/>
  <c r="A2" i="8" s="1"/>
  <c r="T8" i="7"/>
  <c r="T6" i="7"/>
  <c r="N10" i="7"/>
  <c r="N8" i="7"/>
  <c r="N7" i="7"/>
  <c r="N5" i="7"/>
  <c r="I2" i="7" a="1"/>
  <c r="I2" i="7" s="1"/>
  <c r="D9" i="7"/>
  <c r="D8" i="7"/>
  <c r="D6" i="7"/>
  <c r="D4" i="7"/>
  <c r="A2" i="7" a="1"/>
  <c r="A2" i="7" s="1"/>
  <c r="Y19" i="6"/>
  <c r="Y16" i="6"/>
  <c r="Y13" i="6"/>
  <c r="Y10" i="6"/>
  <c r="Y7" i="6"/>
  <c r="Y4" i="6"/>
  <c r="Y18" i="6"/>
  <c r="Y15" i="6"/>
  <c r="Y12" i="6"/>
  <c r="Y9" i="6"/>
  <c r="Y6" i="6"/>
  <c r="Y3" i="6"/>
  <c r="U2" i="6" a="1"/>
  <c r="U2" i="6" s="1"/>
  <c r="M2" i="6" a="1"/>
  <c r="M2" i="6" s="1"/>
  <c r="R6" i="6"/>
  <c r="R5" i="6"/>
  <c r="R4" i="6"/>
  <c r="R3" i="6"/>
  <c r="J10" i="6"/>
  <c r="J9" i="6"/>
  <c r="J8" i="6"/>
  <c r="J7" i="6"/>
  <c r="F2" i="6" a="1"/>
  <c r="F2" i="6" s="1"/>
  <c r="D10" i="6"/>
  <c r="D9" i="6"/>
  <c r="D7" i="6"/>
  <c r="D8" i="6"/>
  <c r="D2" i="2" a="1"/>
  <c r="D2" i="2" s="1"/>
  <c r="G8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D2" i="4" a="1"/>
  <c r="D2" i="4" s="1"/>
  <c r="N6" i="7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<sst xmlns="http://schemas.openxmlformats.org/spreadsheetml/2006/main" count="1794" uniqueCount="285">
  <si>
    <t>create rand column</t>
  </si>
  <si>
    <t>freeze the random numbers</t>
  </si>
  <si>
    <t>sort by rand column</t>
  </si>
  <si>
    <t>StudentID</t>
  </si>
  <si>
    <t>StudentName</t>
  </si>
  <si>
    <t>Department</t>
  </si>
  <si>
    <t>S001</t>
  </si>
  <si>
    <t>Aarav Kumar</t>
  </si>
  <si>
    <t>CSE</t>
  </si>
  <si>
    <t>S002</t>
  </si>
  <si>
    <t>Vikram Reddy</t>
  </si>
  <si>
    <t>ECE</t>
  </si>
  <si>
    <t>S003</t>
  </si>
  <si>
    <t>Rahul Sharma</t>
  </si>
  <si>
    <t>EEE</t>
  </si>
  <si>
    <t>S004</t>
  </si>
  <si>
    <t>Ananya Gupta</t>
  </si>
  <si>
    <t>CIVIL</t>
  </si>
  <si>
    <t>S005</t>
  </si>
  <si>
    <t>Priya Singh</t>
  </si>
  <si>
    <t>MECH</t>
  </si>
  <si>
    <t>S006</t>
  </si>
  <si>
    <t>Karthik Rao</t>
  </si>
  <si>
    <t>S007</t>
  </si>
  <si>
    <t>Sneha Patel</t>
  </si>
  <si>
    <t>S008</t>
  </si>
  <si>
    <t>Arjun Verma</t>
  </si>
  <si>
    <t>S009</t>
  </si>
  <si>
    <t>Neha Rani</t>
  </si>
  <si>
    <t>S010</t>
  </si>
  <si>
    <t>Rohit Das</t>
  </si>
  <si>
    <t>S011</t>
  </si>
  <si>
    <t>Aditya Kumar</t>
  </si>
  <si>
    <t>S012</t>
  </si>
  <si>
    <t>Pooja Sharma</t>
  </si>
  <si>
    <t>S013</t>
  </si>
  <si>
    <t>Nikhil Reddy</t>
  </si>
  <si>
    <t>S014</t>
  </si>
  <si>
    <t>Meera Gupta</t>
  </si>
  <si>
    <t>S015</t>
  </si>
  <si>
    <t>Rakesh Singh</t>
  </si>
  <si>
    <t>S016</t>
  </si>
  <si>
    <t>Divya Patel</t>
  </si>
  <si>
    <t>S017</t>
  </si>
  <si>
    <t>Suresh Rao</t>
  </si>
  <si>
    <t>S018</t>
  </si>
  <si>
    <t>Kavya Verma</t>
  </si>
  <si>
    <t>S019</t>
  </si>
  <si>
    <t>Akhil Das</t>
  </si>
  <si>
    <t>S020</t>
  </si>
  <si>
    <t>Lakshmi Rani</t>
  </si>
  <si>
    <t>S021</t>
  </si>
  <si>
    <t>Manoj Kumar</t>
  </si>
  <si>
    <t>S022</t>
  </si>
  <si>
    <t>Asha Sharma</t>
  </si>
  <si>
    <t>S023</t>
  </si>
  <si>
    <t>Ganesh Reddy</t>
  </si>
  <si>
    <t>S024</t>
  </si>
  <si>
    <t>Deepika Gupta</t>
  </si>
  <si>
    <t>S025</t>
  </si>
  <si>
    <t>Sanjay Singh</t>
  </si>
  <si>
    <t>S026</t>
  </si>
  <si>
    <t>Harsha Patel</t>
  </si>
  <si>
    <t>S027</t>
  </si>
  <si>
    <t>Varun Rao</t>
  </si>
  <si>
    <t>S028</t>
  </si>
  <si>
    <t>Keerthi Verma</t>
  </si>
  <si>
    <t>S029</t>
  </si>
  <si>
    <t>Naveen Das</t>
  </si>
  <si>
    <t>S030</t>
  </si>
  <si>
    <t>Swathi Rani</t>
  </si>
  <si>
    <t>S031</t>
  </si>
  <si>
    <t>Praveen Kumar</t>
  </si>
  <si>
    <t>S032</t>
  </si>
  <si>
    <t>Anjali Sharma</t>
  </si>
  <si>
    <t>S033</t>
  </si>
  <si>
    <t>Bharath Reddy</t>
  </si>
  <si>
    <t>S034</t>
  </si>
  <si>
    <t>Nandini Gupta</t>
  </si>
  <si>
    <t>S035</t>
  </si>
  <si>
    <t>Mahesh Singh</t>
  </si>
  <si>
    <t>S036</t>
  </si>
  <si>
    <t>Ritika Patel</t>
  </si>
  <si>
    <t>S037</t>
  </si>
  <si>
    <t>Satish Rao</t>
  </si>
  <si>
    <t>S038</t>
  </si>
  <si>
    <t>Shreya Verma</t>
  </si>
  <si>
    <t>S039</t>
  </si>
  <si>
    <t>Venu Das</t>
  </si>
  <si>
    <t>S040</t>
  </si>
  <si>
    <t>Pavani Rani</t>
  </si>
  <si>
    <t>S041</t>
  </si>
  <si>
    <t>Ajay Kumar</t>
  </si>
  <si>
    <t>S042</t>
  </si>
  <si>
    <t>Komal Sharma</t>
  </si>
  <si>
    <t>S043</t>
  </si>
  <si>
    <t>Ramesh Reddy</t>
  </si>
  <si>
    <t>S044</t>
  </si>
  <si>
    <t>Harini Gupta</t>
  </si>
  <si>
    <t>S045</t>
  </si>
  <si>
    <t>Vijay Singh</t>
  </si>
  <si>
    <t>S046</t>
  </si>
  <si>
    <t>Shruti Patel</t>
  </si>
  <si>
    <t>S047</t>
  </si>
  <si>
    <t>Dinesh Rao</t>
  </si>
  <si>
    <t>S048</t>
  </si>
  <si>
    <t>Tanvi Verma</t>
  </si>
  <si>
    <t>S049</t>
  </si>
  <si>
    <t>Kiran Das</t>
  </si>
  <si>
    <t>S050</t>
  </si>
  <si>
    <t>Sowmya Rani</t>
  </si>
  <si>
    <t>S051</t>
  </si>
  <si>
    <t>Abhishek Kumar</t>
  </si>
  <si>
    <t>Monika Sharma</t>
  </si>
  <si>
    <t>S053</t>
  </si>
  <si>
    <t>Murali Reddy</t>
  </si>
  <si>
    <t>S054</t>
  </si>
  <si>
    <t>Ishita Gupta</t>
  </si>
  <si>
    <t>S055</t>
  </si>
  <si>
    <t>Prakash Singh</t>
  </si>
  <si>
    <t>S056</t>
  </si>
  <si>
    <t>Nikita Patel</t>
  </si>
  <si>
    <t>S057</t>
  </si>
  <si>
    <t>Yash Rao</t>
  </si>
  <si>
    <t>S058</t>
  </si>
  <si>
    <t>Rekha Verma</t>
  </si>
  <si>
    <t>S059</t>
  </si>
  <si>
    <t>Gopi Das</t>
  </si>
  <si>
    <t>S060</t>
  </si>
  <si>
    <t>Bindu Rani</t>
  </si>
  <si>
    <t>S061</t>
  </si>
  <si>
    <t>Chandan Kumar</t>
  </si>
  <si>
    <t>S062</t>
  </si>
  <si>
    <t>Preeti Sharma</t>
  </si>
  <si>
    <t>S063</t>
  </si>
  <si>
    <t>Hari Reddy</t>
  </si>
  <si>
    <t>S064</t>
  </si>
  <si>
    <t>Sakshi Gupta</t>
  </si>
  <si>
    <t>S065</t>
  </si>
  <si>
    <t>Naresh Singh</t>
  </si>
  <si>
    <t>S066</t>
  </si>
  <si>
    <t>Payal Patel</t>
  </si>
  <si>
    <t>S067</t>
  </si>
  <si>
    <t>Uday Rao</t>
  </si>
  <si>
    <t>S068</t>
  </si>
  <si>
    <t>Aarti Verma</t>
  </si>
  <si>
    <t>S069</t>
  </si>
  <si>
    <t>Ravi Das</t>
  </si>
  <si>
    <t>S070</t>
  </si>
  <si>
    <t>Madhavi Rani</t>
  </si>
  <si>
    <t>S071</t>
  </si>
  <si>
    <t>Krishna Kumar</t>
  </si>
  <si>
    <t>S072</t>
  </si>
  <si>
    <t>Sonal Sharma</t>
  </si>
  <si>
    <t>S073</t>
  </si>
  <si>
    <t>Lokesh Reddy</t>
  </si>
  <si>
    <t>S074</t>
  </si>
  <si>
    <t>Riya Gupta</t>
  </si>
  <si>
    <t>S075</t>
  </si>
  <si>
    <t>Dharmesh Singh</t>
  </si>
  <si>
    <t>S076</t>
  </si>
  <si>
    <t>Palak Patel</t>
  </si>
  <si>
    <t>S077</t>
  </si>
  <si>
    <t>Vamsi Rao</t>
  </si>
  <si>
    <t>S078</t>
  </si>
  <si>
    <t>Shravya Verma</t>
  </si>
  <si>
    <t>S079</t>
  </si>
  <si>
    <t>Teja Das</t>
  </si>
  <si>
    <t>S080</t>
  </si>
  <si>
    <t>Geetha Rani</t>
  </si>
  <si>
    <t>S081</t>
  </si>
  <si>
    <t>Sachin Kumar</t>
  </si>
  <si>
    <t>S082</t>
  </si>
  <si>
    <t>Khushi Sharma</t>
  </si>
  <si>
    <t>S083</t>
  </si>
  <si>
    <t>Nitin Reddy</t>
  </si>
  <si>
    <t>S084</t>
  </si>
  <si>
    <t>Anu Gupta</t>
  </si>
  <si>
    <t>S085</t>
  </si>
  <si>
    <t>Suraj Singh</t>
  </si>
  <si>
    <t>S086</t>
  </si>
  <si>
    <t>Heena Patel</t>
  </si>
  <si>
    <t>S087</t>
  </si>
  <si>
    <t>Kishore Rao</t>
  </si>
  <si>
    <t>S088</t>
  </si>
  <si>
    <t>Vaishnavi Verma</t>
  </si>
  <si>
    <t>S089</t>
  </si>
  <si>
    <t>Raj Das</t>
  </si>
  <si>
    <t>S090</t>
  </si>
  <si>
    <t>Uma Rani</t>
  </si>
  <si>
    <t>S091</t>
  </si>
  <si>
    <t>Tarun Kumar</t>
  </si>
  <si>
    <t>S092</t>
  </si>
  <si>
    <t>Simran Sharma</t>
  </si>
  <si>
    <t>S093</t>
  </si>
  <si>
    <t>Sai Reddy</t>
  </si>
  <si>
    <t>S094</t>
  </si>
  <si>
    <t>Muskan Gupta</t>
  </si>
  <si>
    <t>S095</t>
  </si>
  <si>
    <t>Amit Singh</t>
  </si>
  <si>
    <t>S096</t>
  </si>
  <si>
    <t>Chitra Patel</t>
  </si>
  <si>
    <t>S097</t>
  </si>
  <si>
    <t>Pranav Rao</t>
  </si>
  <si>
    <t>S098</t>
  </si>
  <si>
    <t>Nisha Verma</t>
  </si>
  <si>
    <t>S099</t>
  </si>
  <si>
    <t>Rohan Das</t>
  </si>
  <si>
    <t>S100</t>
  </si>
  <si>
    <t>Jyothi Rani</t>
  </si>
  <si>
    <t>(=INT((A2-1)/20)+1)</t>
  </si>
  <si>
    <t>FORMULA FOR AUTOMATIC INSTEAD OF MANUAL IN CLUSTERING</t>
  </si>
  <si>
    <t>ALTERNATIVE USING CLUSTER A-E</t>
  </si>
  <si>
    <t>PICK THE FIRST 10 STUDENTS</t>
  </si>
  <si>
    <t>RAND</t>
  </si>
  <si>
    <t>SELECTED_STUDENTS</t>
  </si>
  <si>
    <t xml:space="preserve">INSTEAD OF NUMBERS YOU WILL GET CLUSTER NAMES </t>
  </si>
  <si>
    <t>CLUSTERS</t>
  </si>
  <si>
    <t>FORMULA</t>
  </si>
  <si>
    <t>CLUSTER WITH NAME</t>
  </si>
  <si>
    <t>(=CHAR(64+INT((A2-1)/20)+1))</t>
  </si>
  <si>
    <t>Student ID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</si>
  <si>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</si>
  <si>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(=IF(MOD(A2:A18-4,10)=0, "SELECTED","NOT Selected"))</t>
  </si>
  <si>
    <t>TRAIL NO</t>
  </si>
  <si>
    <t>RESULT</t>
  </si>
  <si>
    <t>HEAD</t>
  </si>
  <si>
    <t>TAIL</t>
  </si>
  <si>
    <t>count of heads</t>
  </si>
  <si>
    <t>count of Tails</t>
  </si>
  <si>
    <t>Probabilty of head</t>
  </si>
  <si>
    <t>Probabilty of Tail</t>
  </si>
  <si>
    <t>Trail no</t>
  </si>
  <si>
    <t>Res</t>
  </si>
  <si>
    <t>Head</t>
  </si>
  <si>
    <t>Tail</t>
  </si>
  <si>
    <t>trail no</t>
  </si>
  <si>
    <t>Res 1</t>
  </si>
  <si>
    <t>res 2</t>
  </si>
  <si>
    <t>count of HT</t>
  </si>
  <si>
    <t>count of TH</t>
  </si>
  <si>
    <t>count of TT</t>
  </si>
  <si>
    <t>probability of getting head</t>
  </si>
  <si>
    <t>count of HH</t>
  </si>
  <si>
    <t>Trail</t>
  </si>
  <si>
    <t>Roll</t>
  </si>
  <si>
    <t>count of getting 6</t>
  </si>
  <si>
    <t>count of getting 1</t>
  </si>
  <si>
    <t>count of getting 2</t>
  </si>
  <si>
    <t>count of getting 3</t>
  </si>
  <si>
    <t>count of getting 4</t>
  </si>
  <si>
    <t>count of getting 5</t>
  </si>
  <si>
    <t>Probability of 6</t>
  </si>
  <si>
    <t>Probability of 5</t>
  </si>
  <si>
    <t>Die roe</t>
  </si>
  <si>
    <t>count of 2s</t>
  </si>
  <si>
    <t>count of 4s</t>
  </si>
  <si>
    <t xml:space="preserve">Experimental probability </t>
  </si>
  <si>
    <t>student id</t>
  </si>
  <si>
    <t>gender</t>
  </si>
  <si>
    <t>Plays cricket</t>
  </si>
  <si>
    <t>Male</t>
  </si>
  <si>
    <t>Female</t>
  </si>
  <si>
    <t>total no of males</t>
  </si>
  <si>
    <t>Yes</t>
  </si>
  <si>
    <t>No</t>
  </si>
  <si>
    <t>who plays cricket</t>
  </si>
  <si>
    <t>total no of females</t>
  </si>
  <si>
    <t>count of men who play cricket</t>
  </si>
  <si>
    <t>plays cricket and 5</t>
  </si>
  <si>
    <t>Probability</t>
  </si>
  <si>
    <t>Marks</t>
  </si>
  <si>
    <t>Students marks &lt;=70</t>
  </si>
  <si>
    <t>Total population</t>
  </si>
  <si>
    <t>Diease people</t>
  </si>
  <si>
    <t>Healthy people</t>
  </si>
  <si>
    <t>Test Accuracy</t>
  </si>
  <si>
    <t>Fasle Postive Rate</t>
  </si>
  <si>
    <t>total  positives for diease</t>
  </si>
  <si>
    <t>total positives for healthy</t>
  </si>
  <si>
    <t>tot</t>
  </si>
  <si>
    <t xml:space="preserve"> negative Skew</t>
  </si>
  <si>
    <t>Positive Skew</t>
  </si>
  <si>
    <t>Symmetric</t>
  </si>
  <si>
    <t xml:space="preserve">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</si>
</sst>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NumberFormat="1"/>
    <xf numFmtId="0" fontId="0" fillId="0" borderId="0" xfId="0" applyAlignment="1"/>
    <xf numFmtId="0" fontId="2" fillId="2" borderId="1" xfId="1" applyAlignment="1"/>
  </cellXfs>
  <cellStyles count="2">
    <cellStyle name="Check Cell" xfId="1" builtinId="23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Bayes_Theorem!$Y$2:$Y$33</c:f>
              <c:numCache>
                <c:formatCode>General</c:formatCode>
                <c:ptCount val="32"/>
                <c:pt idx="0">
                  <c:v>11</c:v>
                </c:pt>
                <c:pt idx="1">
                  <c:v>66</c:v>
                </c:pt>
                <c:pt idx="2">
                  <c:v>118</c:v>
                </c:pt>
                <c:pt idx="3">
                  <c:v>147</c:v>
                </c:pt>
                <c:pt idx="4">
                  <c:v>183</c:v>
                </c:pt>
                <c:pt idx="5">
                  <c:v>204</c:v>
                </c:pt>
                <c:pt idx="6">
                  <c:v>243</c:v>
                </c:pt>
                <c:pt idx="7">
                  <c:v>386</c:v>
                </c:pt>
                <c:pt idx="8">
                  <c:v>476</c:v>
                </c:pt>
                <c:pt idx="9">
                  <c:v>549</c:v>
                </c:pt>
                <c:pt idx="10">
                  <c:v>611</c:v>
                </c:pt>
                <c:pt idx="11">
                  <c:v>613</c:v>
                </c:pt>
                <c:pt idx="12">
                  <c:v>641</c:v>
                </c:pt>
                <c:pt idx="13">
                  <c:v>707</c:v>
                </c:pt>
                <c:pt idx="14">
                  <c:v>709</c:v>
                </c:pt>
                <c:pt idx="15">
                  <c:v>734</c:v>
                </c:pt>
                <c:pt idx="16">
                  <c:v>736</c:v>
                </c:pt>
                <c:pt idx="17">
                  <c:v>746</c:v>
                </c:pt>
                <c:pt idx="18">
                  <c:v>765</c:v>
                </c:pt>
                <c:pt idx="19">
                  <c:v>796</c:v>
                </c:pt>
                <c:pt idx="20">
                  <c:v>821</c:v>
                </c:pt>
                <c:pt idx="21">
                  <c:v>923</c:v>
                </c:pt>
                <c:pt idx="22">
                  <c:v>937</c:v>
                </c:pt>
                <c:pt idx="23">
                  <c:v>937</c:v>
                </c:pt>
                <c:pt idx="24">
                  <c:v>947</c:v>
                </c:pt>
                <c:pt idx="25">
                  <c:v>956</c:v>
                </c:pt>
                <c:pt idx="26">
                  <c:v>958</c:v>
                </c:pt>
                <c:pt idx="27">
                  <c:v>961</c:v>
                </c:pt>
                <c:pt idx="28">
                  <c:v>966</c:v>
                </c:pt>
                <c:pt idx="29">
                  <c:v>966</c:v>
                </c:pt>
                <c:pt idx="30">
                  <c:v>984</c:v>
                </c:pt>
                <c:pt idx="31">
                  <c:v>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37-400A-8EE5-6C9E04490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40453471"/>
        <c:axId val="840454431"/>
      </c:barChart>
      <c:catAx>
        <c:axId val="8404534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454431"/>
        <c:crosses val="autoZero"/>
        <c:auto val="1"/>
        <c:lblAlgn val="ctr"/>
        <c:lblOffset val="100"/>
        <c:noMultiLvlLbl val="0"/>
      </c:catAx>
      <c:valAx>
        <c:axId val="84045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45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Histogram</a:t>
          </a:r>
        </a:p>
      </cx:txPr>
    </cx:title>
    <cx:plotArea>
      <cx:plotAreaRegion>
        <cx:series layoutId="clusteredColumn" uniqueId="{87965DAD-6FDE-431E-A648-A38FA9E7C694}">
          <cx:spPr>
            <a:gradFill>
              <a:gsLst>
                <a:gs pos="0">
                  <a:schemeClr val="accent1">
                    <a:lumMod val="50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333374</xdr:colOff>
      <xdr:row>20</xdr:row>
      <xdr:rowOff>71437</xdr:rowOff>
    </xdr:from>
    <xdr:to>
      <xdr:col>19</xdr:col>
      <xdr:colOff>47624</xdr:colOff>
      <xdr:row>34</xdr:row>
      <xdr:rowOff>147637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1E6551A-AA7C-D834-4044-B14FF4BE2F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43774" y="3881437"/>
              <a:ext cx="68675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200024</xdr:colOff>
      <xdr:row>21</xdr:row>
      <xdr:rowOff>0</xdr:rowOff>
    </xdr:from>
    <xdr:to>
      <xdr:col>9</xdr:col>
      <xdr:colOff>590550</xdr:colOff>
      <xdr:row>35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E75BFB-C5A7-7E6F-95B6-DF80F0F69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B8EF85-8EED-48A1-BEDC-043D8B7894C3}" name="Table1" displayName="Table1" ref="A1:D101" totalsRowShown="0" headerRowDxfId="0">
  <autoFilter ref="A1:D101" xr:uid="{C2B8EF85-8EED-48A1-BEDC-043D8B7894C3}"/>
  <tableColumns count="4">
    <tableColumn id="1" xr3:uid="{D706F8E3-A435-4D58-8E3F-98C3BAFCE980}" name="Student ID"/>
    <tableColumn id="2" xr3:uid="{4157368B-B788-4A40-BC2C-104271E8DD2F}" name="StudentName"/>
    <tableColumn id="3" xr3:uid="{CB6C6FD6-2379-4798-95A3-92C5BBED455C}" name="Department"/>
    <tableColumn id="4" xr3:uid="{0CF30DBE-D869-469A-AFF2-8E872D73CDDD}" name="R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2B70-2743-4164-8063-DD86AD17D881}">
  <dimension ref="A1:I101"/>
  <sheetViews>
    <sheetView workbookViewId="0">
      <selection activeCell="I7" sqref="I7"/>
    </sheetView>
  </sheetViews>
  <sheetFormatPr defaultRowHeight="15" x14ac:dyDescent="0.25"/>
  <cols>
    <col min="1" max="1" width="12.42578125" customWidth="1"/>
    <col min="2" max="2" width="15.42578125" customWidth="1"/>
    <col min="3" max="3" width="15.5703125" customWidth="1"/>
    <col min="4" max="4" width="16.28515625" customWidth="1"/>
    <col min="9" max="9" width="30.7109375" customWidth="1"/>
  </cols>
  <sheetData>
    <row r="1" spans="1:9" x14ac:dyDescent="0.25">
      <c r="A1" s="1" t="s">
        <v>221</v>
      </c>
      <c r="B1" s="1" t="s">
        <v>4</v>
      </c>
      <c r="C1" s="1" t="s">
        <v>5</v>
      </c>
      <c r="D1" s="1" t="s">
        <v>214</v>
      </c>
      <c r="H1">
        <v>1</v>
      </c>
      <c r="I1" t="s">
        <v>0</v>
      </c>
    </row>
    <row r="2" spans="1:9" x14ac:dyDescent="0.25">
      <c r="A2" t="s">
        <v>97</v>
      </c>
      <c r="B2" t="s">
        <v>98</v>
      </c>
      <c r="C2" t="s">
        <v>17</v>
      </c>
      <c r="D2">
        <v>3.1330064992002304E-3</v>
      </c>
      <c r="H2">
        <v>2</v>
      </c>
      <c r="I2" t="s">
        <v>1</v>
      </c>
    </row>
    <row r="3" spans="1:9" x14ac:dyDescent="0.25">
      <c r="A3" t="s">
        <v>180</v>
      </c>
      <c r="B3" t="s">
        <v>179</v>
      </c>
      <c r="C3" t="s">
        <v>20</v>
      </c>
      <c r="D3">
        <v>1.8673030195494267E-2</v>
      </c>
      <c r="H3">
        <v>3</v>
      </c>
      <c r="I3" t="s">
        <v>2</v>
      </c>
    </row>
    <row r="4" spans="1:9" x14ac:dyDescent="0.25">
      <c r="A4" t="s">
        <v>184</v>
      </c>
      <c r="B4" t="s">
        <v>183</v>
      </c>
      <c r="C4" t="s">
        <v>11</v>
      </c>
      <c r="D4">
        <v>2.5189352701973422E-2</v>
      </c>
      <c r="H4">
        <v>4</v>
      </c>
      <c r="I4" t="s">
        <v>213</v>
      </c>
    </row>
    <row r="5" spans="1:9" x14ac:dyDescent="0.25">
      <c r="A5" t="s">
        <v>31</v>
      </c>
      <c r="B5" t="s">
        <v>32</v>
      </c>
      <c r="C5" t="s">
        <v>8</v>
      </c>
      <c r="D5">
        <v>2.8053834064192262E-2</v>
      </c>
    </row>
    <row r="6" spans="1:9" x14ac:dyDescent="0.25">
      <c r="A6" t="s">
        <v>93</v>
      </c>
      <c r="B6" t="s">
        <v>94</v>
      </c>
      <c r="C6" t="s">
        <v>11</v>
      </c>
      <c r="D6">
        <v>3.5420344580609608E-2</v>
      </c>
    </row>
    <row r="7" spans="1:9" x14ac:dyDescent="0.25">
      <c r="A7" t="s">
        <v>63</v>
      </c>
      <c r="B7" t="s">
        <v>64</v>
      </c>
      <c r="C7" t="s">
        <v>11</v>
      </c>
      <c r="D7">
        <v>3.9768704479706707E-2</v>
      </c>
    </row>
    <row r="8" spans="1:9" x14ac:dyDescent="0.25">
      <c r="A8" t="s">
        <v>170</v>
      </c>
      <c r="B8" t="s">
        <v>169</v>
      </c>
      <c r="C8" t="s">
        <v>20</v>
      </c>
      <c r="D8">
        <v>4.622811514461167E-2</v>
      </c>
    </row>
    <row r="9" spans="1:9" x14ac:dyDescent="0.25">
      <c r="A9" t="s">
        <v>204</v>
      </c>
      <c r="B9" t="s">
        <v>203</v>
      </c>
      <c r="C9" t="s">
        <v>11</v>
      </c>
      <c r="D9">
        <v>4.6767520490138881E-2</v>
      </c>
    </row>
    <row r="10" spans="1:9" x14ac:dyDescent="0.25">
      <c r="A10" t="s">
        <v>95</v>
      </c>
      <c r="B10" t="s">
        <v>96</v>
      </c>
      <c r="C10" t="s">
        <v>14</v>
      </c>
      <c r="D10">
        <v>4.8928199091775371E-2</v>
      </c>
    </row>
    <row r="11" spans="1:9" x14ac:dyDescent="0.25">
      <c r="A11" t="s">
        <v>65</v>
      </c>
      <c r="B11" t="s">
        <v>66</v>
      </c>
      <c r="C11" t="s">
        <v>14</v>
      </c>
      <c r="D11">
        <v>8.0243886915853713E-2</v>
      </c>
    </row>
    <row r="12" spans="1:9" x14ac:dyDescent="0.25">
      <c r="A12" t="s">
        <v>103</v>
      </c>
      <c r="B12" t="s">
        <v>104</v>
      </c>
      <c r="C12" t="s">
        <v>11</v>
      </c>
      <c r="D12">
        <v>8.4151440518449916E-2</v>
      </c>
    </row>
    <row r="13" spans="1:9" x14ac:dyDescent="0.25">
      <c r="A13" t="s">
        <v>128</v>
      </c>
      <c r="B13" t="s">
        <v>127</v>
      </c>
      <c r="C13" t="s">
        <v>17</v>
      </c>
      <c r="D13">
        <v>0.1005159281343293</v>
      </c>
    </row>
    <row r="14" spans="1:9" x14ac:dyDescent="0.25">
      <c r="A14" t="s">
        <v>130</v>
      </c>
      <c r="B14" t="s">
        <v>129</v>
      </c>
      <c r="C14" t="s">
        <v>20</v>
      </c>
      <c r="D14">
        <v>0.12296923896904333</v>
      </c>
    </row>
    <row r="15" spans="1:9" x14ac:dyDescent="0.25">
      <c r="A15" t="s">
        <v>21</v>
      </c>
      <c r="B15" t="s">
        <v>22</v>
      </c>
      <c r="C15" t="s">
        <v>8</v>
      </c>
      <c r="D15">
        <v>0.13913115117869246</v>
      </c>
    </row>
    <row r="16" spans="1:9" x14ac:dyDescent="0.25">
      <c r="A16" t="s">
        <v>111</v>
      </c>
      <c r="B16" t="s">
        <v>112</v>
      </c>
      <c r="C16" t="s">
        <v>8</v>
      </c>
      <c r="D16">
        <v>0.14147650497965136</v>
      </c>
    </row>
    <row r="17" spans="1:4" x14ac:dyDescent="0.25">
      <c r="A17" t="s">
        <v>33</v>
      </c>
      <c r="B17" t="s">
        <v>34</v>
      </c>
      <c r="C17" t="s">
        <v>11</v>
      </c>
      <c r="D17">
        <v>0.14418650784603804</v>
      </c>
    </row>
    <row r="18" spans="1:4" x14ac:dyDescent="0.25">
      <c r="A18" t="s">
        <v>109</v>
      </c>
      <c r="B18" t="s">
        <v>110</v>
      </c>
      <c r="C18" t="s">
        <v>20</v>
      </c>
      <c r="D18">
        <v>0.17064002234616149</v>
      </c>
    </row>
    <row r="19" spans="1:4" x14ac:dyDescent="0.25">
      <c r="A19" t="s">
        <v>166</v>
      </c>
      <c r="B19" t="s">
        <v>165</v>
      </c>
      <c r="C19" t="s">
        <v>14</v>
      </c>
      <c r="D19">
        <v>0.17335624369231439</v>
      </c>
    </row>
    <row r="20" spans="1:4" x14ac:dyDescent="0.25">
      <c r="A20" t="s">
        <v>120</v>
      </c>
      <c r="B20" t="s">
        <v>119</v>
      </c>
      <c r="C20" t="s">
        <v>20</v>
      </c>
      <c r="D20">
        <v>0.17698299419130903</v>
      </c>
    </row>
    <row r="21" spans="1:4" x14ac:dyDescent="0.25">
      <c r="A21" t="s">
        <v>186</v>
      </c>
      <c r="B21" t="s">
        <v>185</v>
      </c>
      <c r="C21" t="s">
        <v>14</v>
      </c>
      <c r="D21">
        <v>0.18154587120415022</v>
      </c>
    </row>
    <row r="22" spans="1:4" x14ac:dyDescent="0.25">
      <c r="A22" t="s">
        <v>83</v>
      </c>
      <c r="B22" t="s">
        <v>84</v>
      </c>
      <c r="C22" t="s">
        <v>11</v>
      </c>
      <c r="D22">
        <v>0.18797660353999168</v>
      </c>
    </row>
    <row r="23" spans="1:4" x14ac:dyDescent="0.25">
      <c r="A23" t="s">
        <v>176</v>
      </c>
      <c r="B23" t="s">
        <v>175</v>
      </c>
      <c r="C23" t="s">
        <v>14</v>
      </c>
      <c r="D23">
        <v>0.215183798419181</v>
      </c>
    </row>
    <row r="24" spans="1:4" x14ac:dyDescent="0.25">
      <c r="A24" t="s">
        <v>126</v>
      </c>
      <c r="B24" t="s">
        <v>125</v>
      </c>
      <c r="C24" t="s">
        <v>14</v>
      </c>
      <c r="D24">
        <v>0.22815964231511476</v>
      </c>
    </row>
    <row r="25" spans="1:4" x14ac:dyDescent="0.25">
      <c r="A25" t="s">
        <v>6</v>
      </c>
      <c r="B25" t="s">
        <v>7</v>
      </c>
      <c r="C25" t="s">
        <v>8</v>
      </c>
      <c r="D25">
        <v>0.23381125997229735</v>
      </c>
    </row>
    <row r="26" spans="1:4" x14ac:dyDescent="0.25">
      <c r="A26" t="s">
        <v>114</v>
      </c>
      <c r="B26" t="s">
        <v>113</v>
      </c>
      <c r="C26" t="s">
        <v>11</v>
      </c>
      <c r="D26">
        <v>0.24434597770149247</v>
      </c>
    </row>
    <row r="27" spans="1:4" x14ac:dyDescent="0.25">
      <c r="A27" t="s">
        <v>202</v>
      </c>
      <c r="B27" t="s">
        <v>201</v>
      </c>
      <c r="C27" t="s">
        <v>8</v>
      </c>
      <c r="D27">
        <v>0.24468671230170103</v>
      </c>
    </row>
    <row r="28" spans="1:4" x14ac:dyDescent="0.25">
      <c r="A28" t="s">
        <v>23</v>
      </c>
      <c r="B28" t="s">
        <v>24</v>
      </c>
      <c r="C28" t="s">
        <v>11</v>
      </c>
      <c r="D28">
        <v>0.2452232367301691</v>
      </c>
    </row>
    <row r="29" spans="1:4" x14ac:dyDescent="0.25">
      <c r="A29" t="s">
        <v>142</v>
      </c>
      <c r="B29" t="s">
        <v>141</v>
      </c>
      <c r="C29" t="s">
        <v>8</v>
      </c>
      <c r="D29">
        <v>0.25818199016385035</v>
      </c>
    </row>
    <row r="30" spans="1:4" x14ac:dyDescent="0.25">
      <c r="A30" t="s">
        <v>192</v>
      </c>
      <c r="B30" t="s">
        <v>191</v>
      </c>
      <c r="C30" t="s">
        <v>8</v>
      </c>
      <c r="D30">
        <v>0.26352849641186349</v>
      </c>
    </row>
    <row r="31" spans="1:4" x14ac:dyDescent="0.25">
      <c r="A31" t="s">
        <v>18</v>
      </c>
      <c r="B31" t="s">
        <v>19</v>
      </c>
      <c r="C31" t="s">
        <v>20</v>
      </c>
      <c r="D31">
        <v>0.26706338641075189</v>
      </c>
    </row>
    <row r="32" spans="1:4" x14ac:dyDescent="0.25">
      <c r="A32" t="s">
        <v>101</v>
      </c>
      <c r="B32" t="s">
        <v>102</v>
      </c>
      <c r="C32" t="s">
        <v>8</v>
      </c>
      <c r="D32">
        <v>0.27392272986232791</v>
      </c>
    </row>
    <row r="33" spans="1:4" x14ac:dyDescent="0.25">
      <c r="A33" t="s">
        <v>75</v>
      </c>
      <c r="B33" t="s">
        <v>76</v>
      </c>
      <c r="C33" t="s">
        <v>14</v>
      </c>
      <c r="D33">
        <v>0.30139958717369164</v>
      </c>
    </row>
    <row r="34" spans="1:4" x14ac:dyDescent="0.25">
      <c r="A34" t="s">
        <v>47</v>
      </c>
      <c r="B34" t="s">
        <v>48</v>
      </c>
      <c r="C34" t="s">
        <v>17</v>
      </c>
      <c r="D34">
        <v>0.31295477710956465</v>
      </c>
    </row>
    <row r="35" spans="1:4" x14ac:dyDescent="0.25">
      <c r="A35" t="s">
        <v>124</v>
      </c>
      <c r="B35" t="s">
        <v>123</v>
      </c>
      <c r="C35" t="s">
        <v>11</v>
      </c>
      <c r="D35">
        <v>0.31353298615736458</v>
      </c>
    </row>
    <row r="36" spans="1:4" x14ac:dyDescent="0.25">
      <c r="A36" t="s">
        <v>81</v>
      </c>
      <c r="B36" t="s">
        <v>82</v>
      </c>
      <c r="C36" t="s">
        <v>8</v>
      </c>
      <c r="D36">
        <v>0.33424526352838246</v>
      </c>
    </row>
    <row r="37" spans="1:4" x14ac:dyDescent="0.25">
      <c r="A37" t="s">
        <v>73</v>
      </c>
      <c r="B37" t="s">
        <v>74</v>
      </c>
      <c r="C37" t="s">
        <v>11</v>
      </c>
      <c r="D37">
        <v>0.35179672486294522</v>
      </c>
    </row>
    <row r="38" spans="1:4" x14ac:dyDescent="0.25">
      <c r="A38" t="s">
        <v>55</v>
      </c>
      <c r="B38" t="s">
        <v>56</v>
      </c>
      <c r="C38" t="s">
        <v>14</v>
      </c>
      <c r="D38">
        <v>0.36766783798564751</v>
      </c>
    </row>
    <row r="39" spans="1:4" x14ac:dyDescent="0.25">
      <c r="A39" t="s">
        <v>200</v>
      </c>
      <c r="B39" t="s">
        <v>199</v>
      </c>
      <c r="C39" t="s">
        <v>20</v>
      </c>
      <c r="D39">
        <v>0.37128918148714551</v>
      </c>
    </row>
    <row r="40" spans="1:4" x14ac:dyDescent="0.25">
      <c r="A40" t="s">
        <v>37</v>
      </c>
      <c r="B40" t="s">
        <v>38</v>
      </c>
      <c r="C40" t="s">
        <v>17</v>
      </c>
      <c r="D40">
        <v>0.37351527568329268</v>
      </c>
    </row>
    <row r="41" spans="1:4" x14ac:dyDescent="0.25">
      <c r="A41" t="s">
        <v>174</v>
      </c>
      <c r="B41" t="s">
        <v>173</v>
      </c>
      <c r="C41" t="s">
        <v>11</v>
      </c>
      <c r="D41">
        <v>0.39942055287855716</v>
      </c>
    </row>
    <row r="42" spans="1:4" x14ac:dyDescent="0.25">
      <c r="A42" t="s">
        <v>168</v>
      </c>
      <c r="B42" t="s">
        <v>167</v>
      </c>
      <c r="C42" t="s">
        <v>17</v>
      </c>
      <c r="D42">
        <v>0.40273567305714841</v>
      </c>
    </row>
    <row r="43" spans="1:4" x14ac:dyDescent="0.25">
      <c r="A43" t="s">
        <v>118</v>
      </c>
      <c r="B43" t="s">
        <v>117</v>
      </c>
      <c r="C43" t="s">
        <v>17</v>
      </c>
      <c r="D43">
        <v>0.4044509500150939</v>
      </c>
    </row>
    <row r="44" spans="1:4" x14ac:dyDescent="0.25">
      <c r="A44" t="s">
        <v>134</v>
      </c>
      <c r="B44" t="s">
        <v>133</v>
      </c>
      <c r="C44" t="s">
        <v>11</v>
      </c>
      <c r="D44">
        <v>0.41180308882201011</v>
      </c>
    </row>
    <row r="45" spans="1:4" x14ac:dyDescent="0.25">
      <c r="A45" t="s">
        <v>154</v>
      </c>
      <c r="B45" t="s">
        <v>153</v>
      </c>
      <c r="C45" t="s">
        <v>11</v>
      </c>
      <c r="D45">
        <v>0.41642797603737025</v>
      </c>
    </row>
    <row r="46" spans="1:4" x14ac:dyDescent="0.25">
      <c r="A46" t="s">
        <v>140</v>
      </c>
      <c r="B46" t="s">
        <v>139</v>
      </c>
      <c r="C46" t="s">
        <v>20</v>
      </c>
      <c r="D46">
        <v>0.42714744987422182</v>
      </c>
    </row>
    <row r="47" spans="1:4" x14ac:dyDescent="0.25">
      <c r="A47" t="s">
        <v>67</v>
      </c>
      <c r="B47" t="s">
        <v>68</v>
      </c>
      <c r="C47" t="s">
        <v>17</v>
      </c>
      <c r="D47">
        <v>0.46900141053221212</v>
      </c>
    </row>
    <row r="48" spans="1:4" x14ac:dyDescent="0.25">
      <c r="A48" t="s">
        <v>182</v>
      </c>
      <c r="B48" t="s">
        <v>181</v>
      </c>
      <c r="C48" t="s">
        <v>8</v>
      </c>
      <c r="D48">
        <v>0.47830992191982213</v>
      </c>
    </row>
    <row r="49" spans="1:4" x14ac:dyDescent="0.25">
      <c r="A49" t="s">
        <v>190</v>
      </c>
      <c r="B49" t="s">
        <v>189</v>
      </c>
      <c r="C49" t="s">
        <v>20</v>
      </c>
      <c r="D49">
        <v>0.49302946227769395</v>
      </c>
    </row>
    <row r="50" spans="1:4" x14ac:dyDescent="0.25">
      <c r="A50" t="s">
        <v>105</v>
      </c>
      <c r="B50" t="s">
        <v>106</v>
      </c>
      <c r="C50" t="s">
        <v>14</v>
      </c>
      <c r="D50">
        <v>0.50529494921657625</v>
      </c>
    </row>
    <row r="51" spans="1:4" x14ac:dyDescent="0.25">
      <c r="A51" t="s">
        <v>53</v>
      </c>
      <c r="B51" t="s">
        <v>54</v>
      </c>
      <c r="C51" t="s">
        <v>11</v>
      </c>
      <c r="D51">
        <v>0.51680132429691472</v>
      </c>
    </row>
    <row r="52" spans="1:4" x14ac:dyDescent="0.25">
      <c r="A52" t="s">
        <v>43</v>
      </c>
      <c r="B52" t="s">
        <v>44</v>
      </c>
      <c r="C52" t="s">
        <v>11</v>
      </c>
      <c r="D52">
        <v>0.51735230789578168</v>
      </c>
    </row>
    <row r="53" spans="1:4" x14ac:dyDescent="0.25">
      <c r="A53" t="s">
        <v>99</v>
      </c>
      <c r="B53" t="s">
        <v>100</v>
      </c>
      <c r="C53" t="s">
        <v>20</v>
      </c>
      <c r="D53">
        <v>0.52302929891883043</v>
      </c>
    </row>
    <row r="54" spans="1:4" x14ac:dyDescent="0.25">
      <c r="A54" t="s">
        <v>87</v>
      </c>
      <c r="B54" t="s">
        <v>88</v>
      </c>
      <c r="C54" t="s">
        <v>17</v>
      </c>
      <c r="D54">
        <v>0.55032819935093991</v>
      </c>
    </row>
    <row r="55" spans="1:4" x14ac:dyDescent="0.25">
      <c r="A55" t="s">
        <v>25</v>
      </c>
      <c r="B55" t="s">
        <v>26</v>
      </c>
      <c r="C55" t="s">
        <v>14</v>
      </c>
      <c r="D55">
        <v>0.56673525261683699</v>
      </c>
    </row>
    <row r="56" spans="1:4" x14ac:dyDescent="0.25">
      <c r="A56" t="s">
        <v>29</v>
      </c>
      <c r="B56" t="s">
        <v>30</v>
      </c>
      <c r="C56" t="s">
        <v>20</v>
      </c>
      <c r="D56">
        <v>0.56800587695677385</v>
      </c>
    </row>
    <row r="57" spans="1:4" x14ac:dyDescent="0.25">
      <c r="A57" t="s">
        <v>57</v>
      </c>
      <c r="B57" t="s">
        <v>58</v>
      </c>
      <c r="C57" t="s">
        <v>17</v>
      </c>
      <c r="D57">
        <v>0.57268782267308904</v>
      </c>
    </row>
    <row r="58" spans="1:4" x14ac:dyDescent="0.25">
      <c r="A58" t="s">
        <v>194</v>
      </c>
      <c r="B58" t="s">
        <v>193</v>
      </c>
      <c r="C58" t="s">
        <v>11</v>
      </c>
      <c r="D58">
        <v>0.58362333665781563</v>
      </c>
    </row>
    <row r="59" spans="1:4" x14ac:dyDescent="0.25">
      <c r="A59" t="s">
        <v>162</v>
      </c>
      <c r="B59" t="s">
        <v>161</v>
      </c>
      <c r="C59" t="s">
        <v>8</v>
      </c>
      <c r="D59">
        <v>0.59189014877868917</v>
      </c>
    </row>
    <row r="60" spans="1:4" x14ac:dyDescent="0.25">
      <c r="A60" t="s">
        <v>79</v>
      </c>
      <c r="B60" t="s">
        <v>80</v>
      </c>
      <c r="C60" t="s">
        <v>20</v>
      </c>
      <c r="D60">
        <v>0.61745941477960653</v>
      </c>
    </row>
    <row r="61" spans="1:4" x14ac:dyDescent="0.25">
      <c r="A61" t="s">
        <v>188</v>
      </c>
      <c r="B61" t="s">
        <v>187</v>
      </c>
      <c r="C61" t="s">
        <v>17</v>
      </c>
      <c r="D61">
        <v>0.62141518204236668</v>
      </c>
    </row>
    <row r="62" spans="1:4" x14ac:dyDescent="0.25">
      <c r="A62" t="s">
        <v>41</v>
      </c>
      <c r="B62" t="s">
        <v>42</v>
      </c>
      <c r="C62" t="s">
        <v>8</v>
      </c>
      <c r="D62">
        <v>0.62640120090602036</v>
      </c>
    </row>
    <row r="63" spans="1:4" x14ac:dyDescent="0.25">
      <c r="A63" t="s">
        <v>156</v>
      </c>
      <c r="B63" t="s">
        <v>155</v>
      </c>
      <c r="C63" t="s">
        <v>14</v>
      </c>
      <c r="D63">
        <v>0.6352356487112939</v>
      </c>
    </row>
    <row r="64" spans="1:4" x14ac:dyDescent="0.25">
      <c r="A64" t="s">
        <v>27</v>
      </c>
      <c r="B64" t="s">
        <v>28</v>
      </c>
      <c r="C64" t="s">
        <v>17</v>
      </c>
      <c r="D64">
        <v>0.66745311389073825</v>
      </c>
    </row>
    <row r="65" spans="1:4" x14ac:dyDescent="0.25">
      <c r="A65" t="s">
        <v>160</v>
      </c>
      <c r="B65" t="s">
        <v>159</v>
      </c>
      <c r="C65" t="s">
        <v>20</v>
      </c>
      <c r="D65">
        <v>0.6702435221818962</v>
      </c>
    </row>
    <row r="66" spans="1:4" x14ac:dyDescent="0.25">
      <c r="A66" t="s">
        <v>91</v>
      </c>
      <c r="B66" t="s">
        <v>92</v>
      </c>
      <c r="C66" t="s">
        <v>8</v>
      </c>
      <c r="D66">
        <v>0.67935686502553727</v>
      </c>
    </row>
    <row r="67" spans="1:4" x14ac:dyDescent="0.25">
      <c r="A67" t="s">
        <v>9</v>
      </c>
      <c r="B67" t="s">
        <v>10</v>
      </c>
      <c r="C67" t="s">
        <v>11</v>
      </c>
      <c r="D67">
        <v>0.69496992755907527</v>
      </c>
    </row>
    <row r="68" spans="1:4" x14ac:dyDescent="0.25">
      <c r="A68" t="s">
        <v>158</v>
      </c>
      <c r="B68" t="s">
        <v>157</v>
      </c>
      <c r="C68" t="s">
        <v>17</v>
      </c>
      <c r="D68">
        <v>0.70078141905401647</v>
      </c>
    </row>
    <row r="69" spans="1:4" x14ac:dyDescent="0.25">
      <c r="A69" t="s">
        <v>49</v>
      </c>
      <c r="B69" t="s">
        <v>50</v>
      </c>
      <c r="C69" t="s">
        <v>20</v>
      </c>
      <c r="D69">
        <v>0.70748310875194398</v>
      </c>
    </row>
    <row r="70" spans="1:4" x14ac:dyDescent="0.25">
      <c r="A70" t="s">
        <v>12</v>
      </c>
      <c r="B70" t="s">
        <v>13</v>
      </c>
      <c r="C70" t="s">
        <v>14</v>
      </c>
      <c r="D70">
        <v>0.71340819599194838</v>
      </c>
    </row>
    <row r="71" spans="1:4" x14ac:dyDescent="0.25">
      <c r="A71" t="s">
        <v>152</v>
      </c>
      <c r="B71" t="s">
        <v>151</v>
      </c>
      <c r="C71" t="s">
        <v>8</v>
      </c>
      <c r="D71">
        <v>0.73753817605724314</v>
      </c>
    </row>
    <row r="72" spans="1:4" x14ac:dyDescent="0.25">
      <c r="A72" t="s">
        <v>144</v>
      </c>
      <c r="B72" t="s">
        <v>143</v>
      </c>
      <c r="C72" t="s">
        <v>11</v>
      </c>
      <c r="D72">
        <v>0.75295467088009904</v>
      </c>
    </row>
    <row r="73" spans="1:4" x14ac:dyDescent="0.25">
      <c r="A73" t="s">
        <v>122</v>
      </c>
      <c r="B73" t="s">
        <v>121</v>
      </c>
      <c r="C73" t="s">
        <v>8</v>
      </c>
      <c r="D73">
        <v>0.76762393412150809</v>
      </c>
    </row>
    <row r="74" spans="1:4" x14ac:dyDescent="0.25">
      <c r="A74" t="s">
        <v>61</v>
      </c>
      <c r="B74" t="s">
        <v>62</v>
      </c>
      <c r="C74" t="s">
        <v>8</v>
      </c>
      <c r="D74">
        <v>0.78348466484744839</v>
      </c>
    </row>
    <row r="75" spans="1:4" x14ac:dyDescent="0.25">
      <c r="A75" t="s">
        <v>178</v>
      </c>
      <c r="B75" t="s">
        <v>177</v>
      </c>
      <c r="C75" t="s">
        <v>17</v>
      </c>
      <c r="D75">
        <v>0.78616746670118287</v>
      </c>
    </row>
    <row r="76" spans="1:4" x14ac:dyDescent="0.25">
      <c r="A76" t="s">
        <v>39</v>
      </c>
      <c r="B76" t="s">
        <v>40</v>
      </c>
      <c r="C76" t="s">
        <v>20</v>
      </c>
      <c r="D76">
        <v>0.81509187907816627</v>
      </c>
    </row>
    <row r="77" spans="1:4" x14ac:dyDescent="0.25">
      <c r="A77" t="s">
        <v>15</v>
      </c>
      <c r="B77" t="s">
        <v>16</v>
      </c>
      <c r="C77" t="s">
        <v>17</v>
      </c>
      <c r="D77">
        <v>0.84090208150198109</v>
      </c>
    </row>
    <row r="78" spans="1:4" x14ac:dyDescent="0.25">
      <c r="A78" t="s">
        <v>146</v>
      </c>
      <c r="B78" t="s">
        <v>145</v>
      </c>
      <c r="C78" t="s">
        <v>14</v>
      </c>
      <c r="D78">
        <v>0.84461976811486694</v>
      </c>
    </row>
    <row r="79" spans="1:4" x14ac:dyDescent="0.25">
      <c r="A79" t="s">
        <v>198</v>
      </c>
      <c r="B79" t="s">
        <v>197</v>
      </c>
      <c r="C79" t="s">
        <v>17</v>
      </c>
      <c r="D79">
        <v>0.84939839288799468</v>
      </c>
    </row>
    <row r="80" spans="1:4" x14ac:dyDescent="0.25">
      <c r="A80" t="s">
        <v>35</v>
      </c>
      <c r="B80" t="s">
        <v>36</v>
      </c>
      <c r="C80" t="s">
        <v>14</v>
      </c>
      <c r="D80">
        <v>0.85249405356583841</v>
      </c>
    </row>
    <row r="81" spans="1:4" x14ac:dyDescent="0.25">
      <c r="A81" t="s">
        <v>208</v>
      </c>
      <c r="B81" t="s">
        <v>207</v>
      </c>
      <c r="C81" t="s">
        <v>17</v>
      </c>
      <c r="D81">
        <v>0.86329062916682964</v>
      </c>
    </row>
    <row r="82" spans="1:4" x14ac:dyDescent="0.25">
      <c r="A82" t="s">
        <v>132</v>
      </c>
      <c r="B82" t="s">
        <v>131</v>
      </c>
      <c r="C82" t="s">
        <v>8</v>
      </c>
      <c r="D82">
        <v>0.86979475723205391</v>
      </c>
    </row>
    <row r="83" spans="1:4" x14ac:dyDescent="0.25">
      <c r="A83" t="s">
        <v>45</v>
      </c>
      <c r="B83" t="s">
        <v>46</v>
      </c>
      <c r="C83" t="s">
        <v>14</v>
      </c>
      <c r="D83">
        <v>0.87418210146997899</v>
      </c>
    </row>
    <row r="84" spans="1:4" x14ac:dyDescent="0.25">
      <c r="A84" t="s">
        <v>164</v>
      </c>
      <c r="B84" t="s">
        <v>163</v>
      </c>
      <c r="C84" t="s">
        <v>11</v>
      </c>
      <c r="D84">
        <v>0.87815015446969569</v>
      </c>
    </row>
    <row r="85" spans="1:4" x14ac:dyDescent="0.25">
      <c r="A85" t="s">
        <v>150</v>
      </c>
      <c r="B85" t="s">
        <v>149</v>
      </c>
      <c r="C85" t="s">
        <v>20</v>
      </c>
      <c r="D85">
        <v>0.89808658375971273</v>
      </c>
    </row>
    <row r="86" spans="1:4" x14ac:dyDescent="0.25">
      <c r="A86" t="s">
        <v>51</v>
      </c>
      <c r="B86" t="s">
        <v>52</v>
      </c>
      <c r="C86" t="s">
        <v>8</v>
      </c>
      <c r="D86">
        <v>0.90847808470324487</v>
      </c>
    </row>
    <row r="87" spans="1:4" x14ac:dyDescent="0.25">
      <c r="A87" t="s">
        <v>196</v>
      </c>
      <c r="B87" t="s">
        <v>195</v>
      </c>
      <c r="C87" t="s">
        <v>14</v>
      </c>
      <c r="D87">
        <v>0.91830516691094244</v>
      </c>
    </row>
    <row r="88" spans="1:4" x14ac:dyDescent="0.25">
      <c r="A88" t="s">
        <v>107</v>
      </c>
      <c r="B88" t="s">
        <v>108</v>
      </c>
      <c r="C88" t="s">
        <v>17</v>
      </c>
      <c r="D88">
        <v>0.92661073815160544</v>
      </c>
    </row>
    <row r="89" spans="1:4" x14ac:dyDescent="0.25">
      <c r="A89" t="s">
        <v>85</v>
      </c>
      <c r="B89" t="s">
        <v>86</v>
      </c>
      <c r="C89" t="s">
        <v>14</v>
      </c>
      <c r="D89">
        <v>0.93310457076622966</v>
      </c>
    </row>
    <row r="90" spans="1:4" x14ac:dyDescent="0.25">
      <c r="A90" t="s">
        <v>172</v>
      </c>
      <c r="B90" t="s">
        <v>171</v>
      </c>
      <c r="C90" t="s">
        <v>8</v>
      </c>
      <c r="D90">
        <v>0.93368251928962365</v>
      </c>
    </row>
    <row r="91" spans="1:4" x14ac:dyDescent="0.25">
      <c r="A91" t="s">
        <v>77</v>
      </c>
      <c r="B91" t="s">
        <v>78</v>
      </c>
      <c r="C91" t="s">
        <v>17</v>
      </c>
      <c r="D91">
        <v>0.93707590608340596</v>
      </c>
    </row>
    <row r="92" spans="1:4" x14ac:dyDescent="0.25">
      <c r="A92" t="s">
        <v>206</v>
      </c>
      <c r="B92" t="s">
        <v>205</v>
      </c>
      <c r="C92" t="s">
        <v>14</v>
      </c>
      <c r="D92">
        <v>0.9397979130887878</v>
      </c>
    </row>
    <row r="93" spans="1:4" x14ac:dyDescent="0.25">
      <c r="A93" t="s">
        <v>89</v>
      </c>
      <c r="B93" t="s">
        <v>90</v>
      </c>
      <c r="C93" t="s">
        <v>20</v>
      </c>
      <c r="D93">
        <v>0.94777525983199917</v>
      </c>
    </row>
    <row r="94" spans="1:4" x14ac:dyDescent="0.25">
      <c r="A94" t="s">
        <v>136</v>
      </c>
      <c r="B94" t="s">
        <v>135</v>
      </c>
      <c r="C94" t="s">
        <v>14</v>
      </c>
      <c r="D94">
        <v>0.97695297379366663</v>
      </c>
    </row>
    <row r="95" spans="1:4" x14ac:dyDescent="0.25">
      <c r="A95" t="s">
        <v>148</v>
      </c>
      <c r="B95" t="s">
        <v>147</v>
      </c>
      <c r="C95" t="s">
        <v>17</v>
      </c>
      <c r="D95">
        <v>0.98315368872220243</v>
      </c>
    </row>
    <row r="96" spans="1:4" x14ac:dyDescent="0.25">
      <c r="A96" t="s">
        <v>138</v>
      </c>
      <c r="B96" t="s">
        <v>137</v>
      </c>
      <c r="C96" t="s">
        <v>17</v>
      </c>
      <c r="D96">
        <v>0.98581841208275667</v>
      </c>
    </row>
    <row r="97" spans="1:4" x14ac:dyDescent="0.25">
      <c r="A97" t="s">
        <v>116</v>
      </c>
      <c r="B97" t="s">
        <v>115</v>
      </c>
      <c r="C97" t="s">
        <v>14</v>
      </c>
      <c r="D97">
        <v>0.98945631017604008</v>
      </c>
    </row>
    <row r="98" spans="1:4" x14ac:dyDescent="0.25">
      <c r="A98" t="s">
        <v>69</v>
      </c>
      <c r="B98" t="s">
        <v>70</v>
      </c>
      <c r="C98" t="s">
        <v>20</v>
      </c>
      <c r="D98">
        <v>0.99052373194294896</v>
      </c>
    </row>
    <row r="99" spans="1:4" x14ac:dyDescent="0.25">
      <c r="A99" t="s">
        <v>59</v>
      </c>
      <c r="B99" t="s">
        <v>60</v>
      </c>
      <c r="C99" t="s">
        <v>20</v>
      </c>
      <c r="D99">
        <v>0.99422381747804356</v>
      </c>
    </row>
    <row r="100" spans="1:4" x14ac:dyDescent="0.25">
      <c r="A100" t="s">
        <v>71</v>
      </c>
      <c r="B100" t="s">
        <v>72</v>
      </c>
      <c r="C100" t="s">
        <v>8</v>
      </c>
      <c r="D100">
        <v>0.99918541802294691</v>
      </c>
    </row>
    <row r="101" spans="1:4" x14ac:dyDescent="0.25">
      <c r="B101" t="s">
        <v>209</v>
      </c>
      <c r="C101" t="s">
        <v>20</v>
      </c>
      <c r="D101">
        <v>0.39403309283058108</v>
      </c>
    </row>
  </sheetData>
  <sortState xmlns:xlrd2="http://schemas.microsoft.com/office/spreadsheetml/2017/richdata2" ref="A2:D100">
    <sortCondition ref="D2:D100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350D-BBDB-48F8-8A83-0EBA04117785}">
  <dimension ref="A1:F101"/>
  <sheetViews>
    <sheetView workbookViewId="0">
      <selection activeCell="G12" sqref="G12"/>
    </sheetView>
  </sheetViews>
  <sheetFormatPr defaultRowHeight="15" x14ac:dyDescent="0.25"/>
  <cols>
    <col min="1" max="1" width="12.42578125" customWidth="1"/>
    <col min="2" max="2" width="15.140625" customWidth="1"/>
    <col min="3" max="3" width="15.5703125" customWidth="1"/>
    <col min="4" max="4" width="19.7109375" customWidth="1"/>
  </cols>
  <sheetData>
    <row r="1" spans="1:6" x14ac:dyDescent="0.25">
      <c r="A1" t="s">
        <v>3</v>
      </c>
      <c r="B1" t="s">
        <v>4</v>
      </c>
      <c r="C1" t="s">
        <v>5</v>
      </c>
      <c r="D1" t="s">
        <v>215</v>
      </c>
    </row>
    <row r="2" spans="1:6" x14ac:dyDescent="0.25">
      <c r="A2">
        <v>1</v>
      </c>
      <c r="B2" t="s">
        <v>7</v>
      </c>
      <c r="C2" t="s">
        <v>8</v>
      </c>
      <c r="D2" s="2" t="str" cm="1">
        <f t="array" ref="D2:D101">IF(MOD(A2:A101-8,10)=0,"SELECTED","NOT Selected")</f>
        <v>NOT Selected</v>
      </c>
    </row>
    <row r="3" spans="1:6" x14ac:dyDescent="0.25">
      <c r="A3">
        <v>2</v>
      </c>
      <c r="B3" t="s">
        <v>10</v>
      </c>
      <c r="C3" t="s">
        <v>11</v>
      </c>
      <c r="D3" t="str">
        <v>NOT Selected</v>
      </c>
    </row>
    <row r="4" spans="1:6" x14ac:dyDescent="0.25">
      <c r="A4">
        <v>3</v>
      </c>
      <c r="B4" t="s">
        <v>13</v>
      </c>
      <c r="C4" t="s">
        <v>14</v>
      </c>
      <c r="D4" t="str">
        <v>NOT Selected</v>
      </c>
    </row>
    <row r="5" spans="1:6" x14ac:dyDescent="0.25">
      <c r="A5">
        <v>4</v>
      </c>
      <c r="B5" t="s">
        <v>16</v>
      </c>
      <c r="C5" t="s">
        <v>17</v>
      </c>
      <c r="D5" t="str">
        <v>NOT Selected</v>
      </c>
      <c r="F5" t="s">
        <v>218</v>
      </c>
    </row>
    <row r="6" spans="1:6" x14ac:dyDescent="0.25">
      <c r="A6">
        <v>5</v>
      </c>
      <c r="B6" t="s">
        <v>19</v>
      </c>
      <c r="C6" t="s">
        <v>20</v>
      </c>
      <c r="D6" t="str">
        <v>NOT Selected</v>
      </c>
      <c r="F6" t="s">
        <v>223</v>
      </c>
    </row>
    <row r="7" spans="1:6" x14ac:dyDescent="0.25">
      <c r="A7">
        <v>6</v>
      </c>
      <c r="B7" t="s">
        <v>22</v>
      </c>
      <c r="C7" t="s">
        <v>8</v>
      </c>
      <c r="D7" t="str">
        <v>NOT Selected</v>
      </c>
    </row>
    <row r="8" spans="1:6" x14ac:dyDescent="0.25">
      <c r="A8">
        <v>7</v>
      </c>
      <c r="B8" t="s">
        <v>24</v>
      </c>
      <c r="C8" t="s">
        <v>11</v>
      </c>
      <c r="D8" t="str">
        <v>NOT Selected</v>
      </c>
    </row>
    <row r="9" spans="1:6" x14ac:dyDescent="0.25">
      <c r="A9">
        <v>8</v>
      </c>
      <c r="B9" t="s">
        <v>26</v>
      </c>
      <c r="C9" t="s">
        <v>14</v>
      </c>
      <c r="D9" t="str">
        <v>SELECTED</v>
      </c>
    </row>
    <row r="10" spans="1:6" x14ac:dyDescent="0.25">
      <c r="A10">
        <v>9</v>
      </c>
      <c r="B10" t="s">
        <v>28</v>
      </c>
      <c r="C10" t="s">
        <v>17</v>
      </c>
      <c r="D10" t="str">
        <v>NOT Selected</v>
      </c>
    </row>
    <row r="11" spans="1:6" x14ac:dyDescent="0.25">
      <c r="A11">
        <v>10</v>
      </c>
      <c r="B11" t="s">
        <v>30</v>
      </c>
      <c r="C11" t="s">
        <v>20</v>
      </c>
      <c r="D11" t="str">
        <v>NOT Selected</v>
      </c>
    </row>
    <row r="12" spans="1:6" x14ac:dyDescent="0.25">
      <c r="A12">
        <v>11</v>
      </c>
      <c r="B12" t="s">
        <v>7</v>
      </c>
      <c r="C12" t="s">
        <v>8</v>
      </c>
      <c r="D12" t="str">
        <v>NOT Selected</v>
      </c>
    </row>
    <row r="13" spans="1:6" x14ac:dyDescent="0.25">
      <c r="A13">
        <v>12</v>
      </c>
      <c r="B13" t="s">
        <v>10</v>
      </c>
      <c r="C13" t="s">
        <v>11</v>
      </c>
      <c r="D13" t="str">
        <v>NOT Selected</v>
      </c>
    </row>
    <row r="14" spans="1:6" x14ac:dyDescent="0.25">
      <c r="A14">
        <v>13</v>
      </c>
      <c r="B14" t="s">
        <v>13</v>
      </c>
      <c r="C14" t="s">
        <v>14</v>
      </c>
      <c r="D14" t="str">
        <v>NOT Selected</v>
      </c>
    </row>
    <row r="15" spans="1:6" x14ac:dyDescent="0.25">
      <c r="A15">
        <v>14</v>
      </c>
      <c r="B15" t="s">
        <v>16</v>
      </c>
      <c r="C15" t="s">
        <v>17</v>
      </c>
      <c r="D15" t="str">
        <v>NOT Selected</v>
      </c>
    </row>
    <row r="16" spans="1:6" x14ac:dyDescent="0.25">
      <c r="A16">
        <v>15</v>
      </c>
      <c r="B16" t="s">
        <v>19</v>
      </c>
      <c r="C16" t="s">
        <v>20</v>
      </c>
      <c r="D16" t="str">
        <v>NOT Selected</v>
      </c>
    </row>
    <row r="17" spans="1:4" x14ac:dyDescent="0.25">
      <c r="A17">
        <v>16</v>
      </c>
      <c r="B17" t="s">
        <v>22</v>
      </c>
      <c r="C17" t="s">
        <v>8</v>
      </c>
      <c r="D17" t="str">
        <v>NOT Selected</v>
      </c>
    </row>
    <row r="18" spans="1:4" x14ac:dyDescent="0.25">
      <c r="A18">
        <v>17</v>
      </c>
      <c r="B18" t="s">
        <v>24</v>
      </c>
      <c r="C18" t="s">
        <v>11</v>
      </c>
      <c r="D18" t="str">
        <v>NOT Selected</v>
      </c>
    </row>
    <row r="19" spans="1:4" x14ac:dyDescent="0.25">
      <c r="A19">
        <v>18</v>
      </c>
      <c r="B19" t="s">
        <v>26</v>
      </c>
      <c r="C19" t="s">
        <v>14</v>
      </c>
      <c r="D19" t="str">
        <v>SELECTED</v>
      </c>
    </row>
    <row r="20" spans="1:4" x14ac:dyDescent="0.25">
      <c r="A20">
        <v>19</v>
      </c>
      <c r="B20" t="s">
        <v>28</v>
      </c>
      <c r="C20" t="s">
        <v>17</v>
      </c>
      <c r="D20" t="str">
        <v>NOT Selected</v>
      </c>
    </row>
    <row r="21" spans="1:4" x14ac:dyDescent="0.25">
      <c r="A21">
        <v>20</v>
      </c>
      <c r="B21" t="s">
        <v>30</v>
      </c>
      <c r="C21" t="s">
        <v>20</v>
      </c>
      <c r="D21" t="str">
        <v>NOT Selected</v>
      </c>
    </row>
    <row r="22" spans="1:4" x14ac:dyDescent="0.25">
      <c r="A22">
        <v>21</v>
      </c>
      <c r="B22" t="s">
        <v>7</v>
      </c>
      <c r="C22" t="s">
        <v>8</v>
      </c>
      <c r="D22" t="str">
        <v>NOT Selected</v>
      </c>
    </row>
    <row r="23" spans="1:4" x14ac:dyDescent="0.25">
      <c r="A23">
        <v>22</v>
      </c>
      <c r="B23" t="s">
        <v>10</v>
      </c>
      <c r="C23" t="s">
        <v>11</v>
      </c>
      <c r="D23" t="str">
        <v>NOT Selected</v>
      </c>
    </row>
    <row r="24" spans="1:4" x14ac:dyDescent="0.25">
      <c r="A24">
        <v>23</v>
      </c>
      <c r="B24" t="s">
        <v>13</v>
      </c>
      <c r="C24" t="s">
        <v>14</v>
      </c>
      <c r="D24" t="str">
        <v>NOT Selected</v>
      </c>
    </row>
    <row r="25" spans="1:4" x14ac:dyDescent="0.25">
      <c r="A25">
        <v>24</v>
      </c>
      <c r="B25" t="s">
        <v>16</v>
      </c>
      <c r="C25" t="s">
        <v>17</v>
      </c>
      <c r="D25" t="str">
        <v>NOT Selected</v>
      </c>
    </row>
    <row r="26" spans="1:4" x14ac:dyDescent="0.25">
      <c r="A26">
        <v>25</v>
      </c>
      <c r="B26" t="s">
        <v>19</v>
      </c>
      <c r="C26" t="s">
        <v>20</v>
      </c>
      <c r="D26" t="str">
        <v>NOT Selected</v>
      </c>
    </row>
    <row r="27" spans="1:4" x14ac:dyDescent="0.25">
      <c r="A27">
        <v>26</v>
      </c>
      <c r="B27" t="s">
        <v>22</v>
      </c>
      <c r="C27" t="s">
        <v>8</v>
      </c>
      <c r="D27" t="str">
        <v>NOT Selected</v>
      </c>
    </row>
    <row r="28" spans="1:4" x14ac:dyDescent="0.25">
      <c r="A28">
        <v>27</v>
      </c>
      <c r="B28" t="s">
        <v>24</v>
      </c>
      <c r="C28" t="s">
        <v>11</v>
      </c>
      <c r="D28" t="str">
        <v>NOT Selected</v>
      </c>
    </row>
    <row r="29" spans="1:4" x14ac:dyDescent="0.25">
      <c r="A29">
        <v>28</v>
      </c>
      <c r="B29" t="s">
        <v>26</v>
      </c>
      <c r="C29" t="s">
        <v>14</v>
      </c>
      <c r="D29" t="str">
        <v>SELECTED</v>
      </c>
    </row>
    <row r="30" spans="1:4" x14ac:dyDescent="0.25">
      <c r="A30">
        <v>29</v>
      </c>
      <c r="B30" t="s">
        <v>28</v>
      </c>
      <c r="C30" t="s">
        <v>17</v>
      </c>
      <c r="D30" t="str">
        <v>NOT Selected</v>
      </c>
    </row>
    <row r="31" spans="1:4" x14ac:dyDescent="0.25">
      <c r="A31">
        <v>30</v>
      </c>
      <c r="B31" t="s">
        <v>30</v>
      </c>
      <c r="C31" t="s">
        <v>20</v>
      </c>
      <c r="D31" t="str">
        <v>NOT Selected</v>
      </c>
    </row>
    <row r="32" spans="1:4" x14ac:dyDescent="0.25">
      <c r="A32">
        <v>31</v>
      </c>
      <c r="B32" t="s">
        <v>7</v>
      </c>
      <c r="C32" t="s">
        <v>8</v>
      </c>
      <c r="D32" t="str">
        <v>NOT Selected</v>
      </c>
    </row>
    <row r="33" spans="1:4" x14ac:dyDescent="0.25">
      <c r="A33">
        <v>32</v>
      </c>
      <c r="B33" t="s">
        <v>10</v>
      </c>
      <c r="C33" t="s">
        <v>11</v>
      </c>
      <c r="D33" t="str">
        <v>NOT Selected</v>
      </c>
    </row>
    <row r="34" spans="1:4" x14ac:dyDescent="0.25">
      <c r="A34">
        <v>33</v>
      </c>
      <c r="B34" t="s">
        <v>13</v>
      </c>
      <c r="C34" t="s">
        <v>14</v>
      </c>
      <c r="D34" t="str">
        <v>NOT Selected</v>
      </c>
    </row>
    <row r="35" spans="1:4" x14ac:dyDescent="0.25">
      <c r="A35">
        <v>34</v>
      </c>
      <c r="B35" t="s">
        <v>16</v>
      </c>
      <c r="C35" t="s">
        <v>17</v>
      </c>
      <c r="D35" t="str">
        <v>NOT Selected</v>
      </c>
    </row>
    <row r="36" spans="1:4" x14ac:dyDescent="0.25">
      <c r="A36">
        <v>35</v>
      </c>
      <c r="B36" t="s">
        <v>19</v>
      </c>
      <c r="C36" t="s">
        <v>20</v>
      </c>
      <c r="D36" t="str">
        <v>NOT Selected</v>
      </c>
    </row>
    <row r="37" spans="1:4" x14ac:dyDescent="0.25">
      <c r="A37">
        <v>36</v>
      </c>
      <c r="B37" t="s">
        <v>22</v>
      </c>
      <c r="C37" t="s">
        <v>8</v>
      </c>
      <c r="D37" t="str">
        <v>NOT Selected</v>
      </c>
    </row>
    <row r="38" spans="1:4" x14ac:dyDescent="0.25">
      <c r="A38">
        <v>37</v>
      </c>
      <c r="B38" t="s">
        <v>24</v>
      </c>
      <c r="C38" t="s">
        <v>11</v>
      </c>
      <c r="D38" t="str">
        <v>NOT Selected</v>
      </c>
    </row>
    <row r="39" spans="1:4" x14ac:dyDescent="0.25">
      <c r="A39">
        <v>38</v>
      </c>
      <c r="B39" t="s">
        <v>26</v>
      </c>
      <c r="C39" t="s">
        <v>14</v>
      </c>
      <c r="D39" t="str">
        <v>SELECTED</v>
      </c>
    </row>
    <row r="40" spans="1:4" x14ac:dyDescent="0.25">
      <c r="A40">
        <v>39</v>
      </c>
      <c r="B40" t="s">
        <v>28</v>
      </c>
      <c r="C40" t="s">
        <v>17</v>
      </c>
      <c r="D40" t="str">
        <v>NOT Selected</v>
      </c>
    </row>
    <row r="41" spans="1:4" x14ac:dyDescent="0.25">
      <c r="A41">
        <v>40</v>
      </c>
      <c r="B41" t="s">
        <v>30</v>
      </c>
      <c r="C41" t="s">
        <v>20</v>
      </c>
      <c r="D41" t="str">
        <v>NOT Selected</v>
      </c>
    </row>
    <row r="42" spans="1:4" x14ac:dyDescent="0.25">
      <c r="A42">
        <v>41</v>
      </c>
      <c r="B42" t="s">
        <v>7</v>
      </c>
      <c r="C42" t="s">
        <v>8</v>
      </c>
      <c r="D42" t="str">
        <v>NOT Selected</v>
      </c>
    </row>
    <row r="43" spans="1:4" x14ac:dyDescent="0.25">
      <c r="A43">
        <v>42</v>
      </c>
      <c r="B43" t="s">
        <v>10</v>
      </c>
      <c r="C43" t="s">
        <v>11</v>
      </c>
      <c r="D43" t="str">
        <v>NOT Selected</v>
      </c>
    </row>
    <row r="44" spans="1:4" x14ac:dyDescent="0.25">
      <c r="A44">
        <v>43</v>
      </c>
      <c r="B44" t="s">
        <v>13</v>
      </c>
      <c r="C44" t="s">
        <v>14</v>
      </c>
      <c r="D44" t="str">
        <v>NOT Selected</v>
      </c>
    </row>
    <row r="45" spans="1:4" x14ac:dyDescent="0.25">
      <c r="A45">
        <v>44</v>
      </c>
      <c r="B45" t="s">
        <v>16</v>
      </c>
      <c r="C45" t="s">
        <v>17</v>
      </c>
      <c r="D45" t="str">
        <v>NOT Selected</v>
      </c>
    </row>
    <row r="46" spans="1:4" x14ac:dyDescent="0.25">
      <c r="A46">
        <v>45</v>
      </c>
      <c r="B46" t="s">
        <v>19</v>
      </c>
      <c r="C46" t="s">
        <v>20</v>
      </c>
      <c r="D46" t="str">
        <v>NOT Selected</v>
      </c>
    </row>
    <row r="47" spans="1:4" x14ac:dyDescent="0.25">
      <c r="A47">
        <v>46</v>
      </c>
      <c r="B47" t="s">
        <v>22</v>
      </c>
      <c r="C47" t="s">
        <v>8</v>
      </c>
      <c r="D47" t="str">
        <v>NOT Selected</v>
      </c>
    </row>
    <row r="48" spans="1:4" x14ac:dyDescent="0.25">
      <c r="A48">
        <v>47</v>
      </c>
      <c r="B48" t="s">
        <v>24</v>
      </c>
      <c r="C48" t="s">
        <v>11</v>
      </c>
      <c r="D48" t="str">
        <v>NOT Selected</v>
      </c>
    </row>
    <row r="49" spans="1:4" x14ac:dyDescent="0.25">
      <c r="A49">
        <v>48</v>
      </c>
      <c r="B49" t="s">
        <v>26</v>
      </c>
      <c r="C49" t="s">
        <v>14</v>
      </c>
      <c r="D49" t="str">
        <v>SELECTED</v>
      </c>
    </row>
    <row r="50" spans="1:4" x14ac:dyDescent="0.25">
      <c r="A50">
        <v>49</v>
      </c>
      <c r="B50" t="s">
        <v>28</v>
      </c>
      <c r="C50" t="s">
        <v>17</v>
      </c>
      <c r="D50" t="str">
        <v>NOT Selected</v>
      </c>
    </row>
    <row r="51" spans="1:4" x14ac:dyDescent="0.25">
      <c r="A51">
        <v>50</v>
      </c>
      <c r="B51" t="s">
        <v>30</v>
      </c>
      <c r="C51" t="s">
        <v>20</v>
      </c>
      <c r="D51" t="str">
        <v>NOT Selected</v>
      </c>
    </row>
    <row r="52" spans="1:4" x14ac:dyDescent="0.25">
      <c r="A52">
        <v>51</v>
      </c>
      <c r="B52" t="s">
        <v>7</v>
      </c>
      <c r="C52" t="s">
        <v>8</v>
      </c>
      <c r="D52" t="str">
        <v>NOT Selected</v>
      </c>
    </row>
    <row r="53" spans="1:4" x14ac:dyDescent="0.25">
      <c r="A53">
        <v>52</v>
      </c>
      <c r="B53" t="s">
        <v>10</v>
      </c>
      <c r="C53" t="s">
        <v>11</v>
      </c>
      <c r="D53" t="str">
        <v>NOT Selected</v>
      </c>
    </row>
    <row r="54" spans="1:4" x14ac:dyDescent="0.25">
      <c r="A54">
        <v>53</v>
      </c>
      <c r="B54" t="s">
        <v>13</v>
      </c>
      <c r="C54" t="s">
        <v>14</v>
      </c>
      <c r="D54" t="str">
        <v>NOT Selected</v>
      </c>
    </row>
    <row r="55" spans="1:4" x14ac:dyDescent="0.25">
      <c r="A55">
        <v>54</v>
      </c>
      <c r="B55" t="s">
        <v>16</v>
      </c>
      <c r="C55" t="s">
        <v>17</v>
      </c>
      <c r="D55" t="str">
        <v>NOT Selected</v>
      </c>
    </row>
    <row r="56" spans="1:4" x14ac:dyDescent="0.25">
      <c r="A56">
        <v>55</v>
      </c>
      <c r="B56" t="s">
        <v>19</v>
      </c>
      <c r="C56" t="s">
        <v>20</v>
      </c>
      <c r="D56" t="str">
        <v>NOT Selected</v>
      </c>
    </row>
    <row r="57" spans="1:4" x14ac:dyDescent="0.25">
      <c r="A57">
        <v>56</v>
      </c>
      <c r="B57" t="s">
        <v>22</v>
      </c>
      <c r="C57" t="s">
        <v>8</v>
      </c>
      <c r="D57" t="str">
        <v>NOT Selected</v>
      </c>
    </row>
    <row r="58" spans="1:4" x14ac:dyDescent="0.25">
      <c r="A58">
        <v>57</v>
      </c>
      <c r="B58" t="s">
        <v>24</v>
      </c>
      <c r="C58" t="s">
        <v>11</v>
      </c>
      <c r="D58" t="str">
        <v>NOT Selected</v>
      </c>
    </row>
    <row r="59" spans="1:4" x14ac:dyDescent="0.25">
      <c r="A59">
        <v>58</v>
      </c>
      <c r="B59" t="s">
        <v>26</v>
      </c>
      <c r="C59" t="s">
        <v>14</v>
      </c>
      <c r="D59" t="str">
        <v>SELECTED</v>
      </c>
    </row>
    <row r="60" spans="1:4" x14ac:dyDescent="0.25">
      <c r="A60">
        <v>59</v>
      </c>
      <c r="B60" t="s">
        <v>28</v>
      </c>
      <c r="C60" t="s">
        <v>17</v>
      </c>
      <c r="D60" t="str">
        <v>NOT Selected</v>
      </c>
    </row>
    <row r="61" spans="1:4" x14ac:dyDescent="0.25">
      <c r="A61">
        <v>60</v>
      </c>
      <c r="B61" t="s">
        <v>30</v>
      </c>
      <c r="C61" t="s">
        <v>20</v>
      </c>
      <c r="D61" t="str">
        <v>NOT Selected</v>
      </c>
    </row>
    <row r="62" spans="1:4" x14ac:dyDescent="0.25">
      <c r="A62">
        <v>61</v>
      </c>
      <c r="B62" t="s">
        <v>7</v>
      </c>
      <c r="C62" t="s">
        <v>8</v>
      </c>
      <c r="D62" t="str">
        <v>NOT Selected</v>
      </c>
    </row>
    <row r="63" spans="1:4" x14ac:dyDescent="0.25">
      <c r="A63">
        <v>62</v>
      </c>
      <c r="B63" t="s">
        <v>10</v>
      </c>
      <c r="C63" t="s">
        <v>11</v>
      </c>
      <c r="D63" t="str">
        <v>NOT Selected</v>
      </c>
    </row>
    <row r="64" spans="1:4" x14ac:dyDescent="0.25">
      <c r="A64">
        <v>63</v>
      </c>
      <c r="B64" t="s">
        <v>13</v>
      </c>
      <c r="C64" t="s">
        <v>14</v>
      </c>
      <c r="D64" t="str">
        <v>NOT Selected</v>
      </c>
    </row>
    <row r="65" spans="1:4" x14ac:dyDescent="0.25">
      <c r="A65">
        <v>64</v>
      </c>
      <c r="B65" t="s">
        <v>16</v>
      </c>
      <c r="C65" t="s">
        <v>17</v>
      </c>
      <c r="D65" t="str">
        <v>NOT Selected</v>
      </c>
    </row>
    <row r="66" spans="1:4" x14ac:dyDescent="0.25">
      <c r="A66">
        <v>65</v>
      </c>
      <c r="B66" t="s">
        <v>19</v>
      </c>
      <c r="C66" t="s">
        <v>20</v>
      </c>
      <c r="D66" t="str">
        <v>NOT Selected</v>
      </c>
    </row>
    <row r="67" spans="1:4" x14ac:dyDescent="0.25">
      <c r="A67">
        <v>66</v>
      </c>
      <c r="B67" t="s">
        <v>22</v>
      </c>
      <c r="C67" t="s">
        <v>8</v>
      </c>
      <c r="D67" t="str">
        <v>NOT Selected</v>
      </c>
    </row>
    <row r="68" spans="1:4" x14ac:dyDescent="0.25">
      <c r="A68">
        <v>67</v>
      </c>
      <c r="B68" t="s">
        <v>24</v>
      </c>
      <c r="C68" t="s">
        <v>11</v>
      </c>
      <c r="D68" t="str">
        <v>NOT Selected</v>
      </c>
    </row>
    <row r="69" spans="1:4" x14ac:dyDescent="0.25">
      <c r="A69">
        <v>68</v>
      </c>
      <c r="B69" t="s">
        <v>26</v>
      </c>
      <c r="C69" t="s">
        <v>14</v>
      </c>
      <c r="D69" t="str">
        <v>SELECTED</v>
      </c>
    </row>
    <row r="70" spans="1:4" x14ac:dyDescent="0.25">
      <c r="A70">
        <v>69</v>
      </c>
      <c r="B70" t="s">
        <v>28</v>
      </c>
      <c r="C70" t="s">
        <v>17</v>
      </c>
      <c r="D70" t="str">
        <v>NOT Selected</v>
      </c>
    </row>
    <row r="71" spans="1:4" x14ac:dyDescent="0.25">
      <c r="A71">
        <v>70</v>
      </c>
      <c r="B71" t="s">
        <v>30</v>
      </c>
      <c r="C71" t="s">
        <v>20</v>
      </c>
      <c r="D71" t="str">
        <v>NOT Selected</v>
      </c>
    </row>
    <row r="72" spans="1:4" x14ac:dyDescent="0.25">
      <c r="A72">
        <v>71</v>
      </c>
      <c r="B72" t="s">
        <v>7</v>
      </c>
      <c r="C72" t="s">
        <v>8</v>
      </c>
      <c r="D72" t="str">
        <v>NOT Selected</v>
      </c>
    </row>
    <row r="73" spans="1:4" x14ac:dyDescent="0.25">
      <c r="A73">
        <v>72</v>
      </c>
      <c r="B73" t="s">
        <v>10</v>
      </c>
      <c r="C73" t="s">
        <v>11</v>
      </c>
      <c r="D73" t="str">
        <v>NOT Selected</v>
      </c>
    </row>
    <row r="74" spans="1:4" x14ac:dyDescent="0.25">
      <c r="A74">
        <v>73</v>
      </c>
      <c r="B74" t="s">
        <v>13</v>
      </c>
      <c r="C74" t="s">
        <v>14</v>
      </c>
      <c r="D74" t="str">
        <v>NOT Selected</v>
      </c>
    </row>
    <row r="75" spans="1:4" x14ac:dyDescent="0.25">
      <c r="A75">
        <v>74</v>
      </c>
      <c r="B75" t="s">
        <v>16</v>
      </c>
      <c r="C75" t="s">
        <v>17</v>
      </c>
      <c r="D75" t="str">
        <v>NOT Selected</v>
      </c>
    </row>
    <row r="76" spans="1:4" x14ac:dyDescent="0.25">
      <c r="A76">
        <v>75</v>
      </c>
      <c r="B76" t="s">
        <v>19</v>
      </c>
      <c r="C76" t="s">
        <v>20</v>
      </c>
      <c r="D76" t="str">
        <v>NOT Selected</v>
      </c>
    </row>
    <row r="77" spans="1:4" x14ac:dyDescent="0.25">
      <c r="A77">
        <v>76</v>
      </c>
      <c r="B77" t="s">
        <v>22</v>
      </c>
      <c r="C77" t="s">
        <v>8</v>
      </c>
      <c r="D77" t="str">
        <v>NOT Selected</v>
      </c>
    </row>
    <row r="78" spans="1:4" x14ac:dyDescent="0.25">
      <c r="A78">
        <v>77</v>
      </c>
      <c r="B78" t="s">
        <v>24</v>
      </c>
      <c r="C78" t="s">
        <v>11</v>
      </c>
      <c r="D78" t="str">
        <v>NOT Selected</v>
      </c>
    </row>
    <row r="79" spans="1:4" x14ac:dyDescent="0.25">
      <c r="A79">
        <v>78</v>
      </c>
      <c r="B79" t="s">
        <v>26</v>
      </c>
      <c r="C79" t="s">
        <v>14</v>
      </c>
      <c r="D79" t="str">
        <v>SELECTED</v>
      </c>
    </row>
    <row r="80" spans="1:4" x14ac:dyDescent="0.25">
      <c r="A80">
        <v>79</v>
      </c>
      <c r="B80" t="s">
        <v>28</v>
      </c>
      <c r="C80" t="s">
        <v>17</v>
      </c>
      <c r="D80" t="str">
        <v>NOT Selected</v>
      </c>
    </row>
    <row r="81" spans="1:4" x14ac:dyDescent="0.25">
      <c r="A81">
        <v>80</v>
      </c>
      <c r="B81" t="s">
        <v>30</v>
      </c>
      <c r="C81" t="s">
        <v>20</v>
      </c>
      <c r="D81" t="str">
        <v>NOT Selected</v>
      </c>
    </row>
    <row r="82" spans="1:4" x14ac:dyDescent="0.25">
      <c r="A82">
        <v>81</v>
      </c>
      <c r="B82" t="s">
        <v>7</v>
      </c>
      <c r="C82" t="s">
        <v>8</v>
      </c>
      <c r="D82" t="str">
        <v>NOT Selected</v>
      </c>
    </row>
    <row r="83" spans="1:4" x14ac:dyDescent="0.25">
      <c r="A83">
        <v>82</v>
      </c>
      <c r="B83" t="s">
        <v>10</v>
      </c>
      <c r="C83" t="s">
        <v>11</v>
      </c>
      <c r="D83" t="str">
        <v>NOT Selected</v>
      </c>
    </row>
    <row r="84" spans="1:4" x14ac:dyDescent="0.25">
      <c r="A84">
        <v>83</v>
      </c>
      <c r="B84" t="s">
        <v>13</v>
      </c>
      <c r="C84" t="s">
        <v>14</v>
      </c>
      <c r="D84" t="str">
        <v>NOT Selected</v>
      </c>
    </row>
    <row r="85" spans="1:4" x14ac:dyDescent="0.25">
      <c r="A85">
        <v>84</v>
      </c>
      <c r="B85" t="s">
        <v>16</v>
      </c>
      <c r="C85" t="s">
        <v>17</v>
      </c>
      <c r="D85" t="str">
        <v>NOT Selected</v>
      </c>
    </row>
    <row r="86" spans="1:4" x14ac:dyDescent="0.25">
      <c r="A86">
        <v>85</v>
      </c>
      <c r="B86" t="s">
        <v>19</v>
      </c>
      <c r="C86" t="s">
        <v>20</v>
      </c>
      <c r="D86" t="str">
        <v>NOT Selected</v>
      </c>
    </row>
    <row r="87" spans="1:4" x14ac:dyDescent="0.25">
      <c r="A87">
        <v>86</v>
      </c>
      <c r="B87" t="s">
        <v>22</v>
      </c>
      <c r="C87" t="s">
        <v>8</v>
      </c>
      <c r="D87" t="str">
        <v>NOT Selected</v>
      </c>
    </row>
    <row r="88" spans="1:4" x14ac:dyDescent="0.25">
      <c r="A88">
        <v>87</v>
      </c>
      <c r="B88" t="s">
        <v>24</v>
      </c>
      <c r="C88" t="s">
        <v>11</v>
      </c>
      <c r="D88" t="str">
        <v>NOT Selected</v>
      </c>
    </row>
    <row r="89" spans="1:4" x14ac:dyDescent="0.25">
      <c r="A89">
        <v>88</v>
      </c>
      <c r="B89" t="s">
        <v>26</v>
      </c>
      <c r="C89" t="s">
        <v>14</v>
      </c>
      <c r="D89" t="str">
        <v>SELECTED</v>
      </c>
    </row>
    <row r="90" spans="1:4" x14ac:dyDescent="0.25">
      <c r="A90">
        <v>89</v>
      </c>
      <c r="B90" t="s">
        <v>28</v>
      </c>
      <c r="C90" t="s">
        <v>17</v>
      </c>
      <c r="D90" t="str">
        <v>NOT Selected</v>
      </c>
    </row>
    <row r="91" spans="1:4" x14ac:dyDescent="0.25">
      <c r="A91">
        <v>90</v>
      </c>
      <c r="B91" t="s">
        <v>30</v>
      </c>
      <c r="C91" t="s">
        <v>20</v>
      </c>
      <c r="D91" t="str">
        <v>NOT Selected</v>
      </c>
    </row>
    <row r="92" spans="1:4" x14ac:dyDescent="0.25">
      <c r="A92">
        <v>91</v>
      </c>
      <c r="B92" t="s">
        <v>7</v>
      </c>
      <c r="C92" t="s">
        <v>8</v>
      </c>
      <c r="D92" t="str">
        <v>NOT Selected</v>
      </c>
    </row>
    <row r="93" spans="1:4" x14ac:dyDescent="0.25">
      <c r="A93">
        <v>92</v>
      </c>
      <c r="B93" t="s">
        <v>10</v>
      </c>
      <c r="C93" t="s">
        <v>11</v>
      </c>
      <c r="D93" t="str">
        <v>NOT Selected</v>
      </c>
    </row>
    <row r="94" spans="1:4" x14ac:dyDescent="0.25">
      <c r="A94">
        <v>93</v>
      </c>
      <c r="B94" t="s">
        <v>13</v>
      </c>
      <c r="C94" t="s">
        <v>14</v>
      </c>
      <c r="D94" t="str">
        <v>NOT Selected</v>
      </c>
    </row>
    <row r="95" spans="1:4" x14ac:dyDescent="0.25">
      <c r="A95">
        <v>94</v>
      </c>
      <c r="B95" t="s">
        <v>16</v>
      </c>
      <c r="C95" t="s">
        <v>17</v>
      </c>
      <c r="D95" t="str">
        <v>NOT Selected</v>
      </c>
    </row>
    <row r="96" spans="1:4" x14ac:dyDescent="0.25">
      <c r="A96">
        <v>95</v>
      </c>
      <c r="B96" t="s">
        <v>19</v>
      </c>
      <c r="C96" t="s">
        <v>20</v>
      </c>
      <c r="D96" t="str">
        <v>NOT Selected</v>
      </c>
    </row>
    <row r="97" spans="1:4" x14ac:dyDescent="0.25">
      <c r="A97">
        <v>96</v>
      </c>
      <c r="B97" t="s">
        <v>22</v>
      </c>
      <c r="C97" t="s">
        <v>8</v>
      </c>
      <c r="D97" t="str">
        <v>NOT Selected</v>
      </c>
    </row>
    <row r="98" spans="1:4" x14ac:dyDescent="0.25">
      <c r="A98">
        <v>97</v>
      </c>
      <c r="B98" t="s">
        <v>24</v>
      </c>
      <c r="C98" t="s">
        <v>11</v>
      </c>
      <c r="D98" t="str">
        <v>NOT Selected</v>
      </c>
    </row>
    <row r="99" spans="1:4" x14ac:dyDescent="0.25">
      <c r="A99">
        <v>98</v>
      </c>
      <c r="B99" t="s">
        <v>26</v>
      </c>
      <c r="C99" t="s">
        <v>14</v>
      </c>
      <c r="D99" t="str">
        <v>SELECTED</v>
      </c>
    </row>
    <row r="100" spans="1:4" x14ac:dyDescent="0.25">
      <c r="A100">
        <v>99</v>
      </c>
      <c r="B100" t="s">
        <v>28</v>
      </c>
      <c r="C100" t="s">
        <v>17</v>
      </c>
      <c r="D100" t="str">
        <v>NOT Selected</v>
      </c>
    </row>
    <row r="101" spans="1:4" x14ac:dyDescent="0.25">
      <c r="A101">
        <v>100</v>
      </c>
      <c r="B101" t="s">
        <v>30</v>
      </c>
      <c r="C101" t="s">
        <v>20</v>
      </c>
      <c r="D101" t="str">
        <v>NOT Selected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39CA-BAC8-4778-BB34-6AC69FA2E6E7}">
  <dimension ref="A1:D101"/>
  <sheetViews>
    <sheetView workbookViewId="0">
      <selection activeCell="G31" sqref="G31"/>
    </sheetView>
  </sheetViews>
  <sheetFormatPr defaultRowHeight="15" x14ac:dyDescent="0.25"/>
  <cols>
    <col min="1" max="1" width="14.140625" customWidth="1"/>
    <col min="2" max="2" width="14.5703125" customWidth="1"/>
    <col min="3" max="3" width="14.140625" customWidth="1"/>
    <col min="4" max="4" width="16.140625" customWidth="1"/>
  </cols>
  <sheetData>
    <row r="1" spans="1:4" x14ac:dyDescent="0.25">
      <c r="A1" t="s">
        <v>3</v>
      </c>
      <c r="B1" t="s">
        <v>4</v>
      </c>
      <c r="C1" t="s">
        <v>5</v>
      </c>
      <c r="D1" t="s">
        <v>214</v>
      </c>
    </row>
    <row r="2" spans="1:4" x14ac:dyDescent="0.25">
      <c r="A2">
        <v>15</v>
      </c>
      <c r="B2" t="s">
        <v>19</v>
      </c>
      <c r="C2" t="s">
        <v>17</v>
      </c>
      <c r="D2">
        <v>8.8106604891806661E-3</v>
      </c>
    </row>
    <row r="3" spans="1:4" x14ac:dyDescent="0.25">
      <c r="A3">
        <v>64</v>
      </c>
      <c r="B3" t="s">
        <v>16</v>
      </c>
      <c r="C3" t="s">
        <v>14</v>
      </c>
      <c r="D3">
        <v>2.4301298818684258E-2</v>
      </c>
    </row>
    <row r="4" spans="1:4" x14ac:dyDescent="0.25">
      <c r="A4">
        <v>5</v>
      </c>
      <c r="B4" t="s">
        <v>19</v>
      </c>
      <c r="C4" t="s">
        <v>17</v>
      </c>
      <c r="D4">
        <v>2.7372876661574841E-2</v>
      </c>
    </row>
    <row r="5" spans="1:4" x14ac:dyDescent="0.25">
      <c r="A5">
        <v>39</v>
      </c>
      <c r="B5" t="s">
        <v>28</v>
      </c>
      <c r="C5" t="s">
        <v>8</v>
      </c>
      <c r="D5">
        <v>3.51681866749739E-2</v>
      </c>
    </row>
    <row r="6" spans="1:4" x14ac:dyDescent="0.25">
      <c r="A6">
        <v>2</v>
      </c>
      <c r="B6" t="s">
        <v>10</v>
      </c>
      <c r="C6" t="s">
        <v>17</v>
      </c>
      <c r="D6">
        <v>3.7229334374010992E-2</v>
      </c>
    </row>
    <row r="7" spans="1:4" x14ac:dyDescent="0.25">
      <c r="A7">
        <v>80</v>
      </c>
      <c r="B7" t="s">
        <v>30</v>
      </c>
      <c r="C7" t="s">
        <v>14</v>
      </c>
      <c r="D7">
        <v>5.9927994355388869E-2</v>
      </c>
    </row>
    <row r="8" spans="1:4" x14ac:dyDescent="0.25">
      <c r="A8">
        <v>47</v>
      </c>
      <c r="B8" t="s">
        <v>24</v>
      </c>
      <c r="C8" t="s">
        <v>11</v>
      </c>
      <c r="D8">
        <v>6.398971020749411E-2</v>
      </c>
    </row>
    <row r="9" spans="1:4" x14ac:dyDescent="0.25">
      <c r="A9">
        <v>78</v>
      </c>
      <c r="B9" t="s">
        <v>26</v>
      </c>
      <c r="C9" t="s">
        <v>14</v>
      </c>
      <c r="D9">
        <v>7.5272863576356874E-2</v>
      </c>
    </row>
    <row r="10" spans="1:4" x14ac:dyDescent="0.25">
      <c r="A10">
        <v>32</v>
      </c>
      <c r="B10" t="s">
        <v>10</v>
      </c>
      <c r="C10" t="s">
        <v>8</v>
      </c>
      <c r="D10">
        <v>7.5400508071633121E-2</v>
      </c>
    </row>
    <row r="11" spans="1:4" x14ac:dyDescent="0.25">
      <c r="A11">
        <v>58</v>
      </c>
      <c r="B11" t="s">
        <v>26</v>
      </c>
      <c r="C11" t="s">
        <v>11</v>
      </c>
      <c r="D11">
        <v>8.3286071369481296E-2</v>
      </c>
    </row>
    <row r="12" spans="1:4" x14ac:dyDescent="0.25">
      <c r="A12">
        <v>42</v>
      </c>
      <c r="B12" t="s">
        <v>10</v>
      </c>
      <c r="C12" t="s">
        <v>11</v>
      </c>
      <c r="D12">
        <v>8.5381435950120155E-2</v>
      </c>
    </row>
    <row r="13" spans="1:4" x14ac:dyDescent="0.25">
      <c r="A13">
        <v>46</v>
      </c>
      <c r="B13" t="s">
        <v>22</v>
      </c>
      <c r="C13" t="s">
        <v>11</v>
      </c>
      <c r="D13">
        <v>0.10530615264641985</v>
      </c>
    </row>
    <row r="14" spans="1:4" x14ac:dyDescent="0.25">
      <c r="A14">
        <v>12</v>
      </c>
      <c r="B14" t="s">
        <v>10</v>
      </c>
      <c r="C14" t="s">
        <v>17</v>
      </c>
      <c r="D14">
        <v>0.10927826855535527</v>
      </c>
    </row>
    <row r="15" spans="1:4" x14ac:dyDescent="0.25">
      <c r="A15">
        <v>36</v>
      </c>
      <c r="B15" t="s">
        <v>22</v>
      </c>
      <c r="C15" t="s">
        <v>8</v>
      </c>
      <c r="D15">
        <v>0.12547559648037354</v>
      </c>
    </row>
    <row r="16" spans="1:4" x14ac:dyDescent="0.25">
      <c r="A16">
        <v>30</v>
      </c>
      <c r="B16" t="s">
        <v>30</v>
      </c>
      <c r="C16" t="s">
        <v>8</v>
      </c>
      <c r="D16">
        <v>0.1333550176633862</v>
      </c>
    </row>
    <row r="17" spans="1:4" x14ac:dyDescent="0.25">
      <c r="A17">
        <v>38</v>
      </c>
      <c r="B17" t="s">
        <v>26</v>
      </c>
      <c r="C17" t="s">
        <v>8</v>
      </c>
      <c r="D17">
        <v>0.13852137023697975</v>
      </c>
    </row>
    <row r="18" spans="1:4" x14ac:dyDescent="0.25">
      <c r="A18">
        <v>51</v>
      </c>
      <c r="B18" t="s">
        <v>7</v>
      </c>
      <c r="C18" t="s">
        <v>11</v>
      </c>
      <c r="D18">
        <v>0.14128483897165323</v>
      </c>
    </row>
    <row r="19" spans="1:4" x14ac:dyDescent="0.25">
      <c r="A19">
        <v>53</v>
      </c>
      <c r="B19" t="s">
        <v>13</v>
      </c>
      <c r="C19" t="s">
        <v>11</v>
      </c>
      <c r="D19">
        <v>0.1778850441332307</v>
      </c>
    </row>
    <row r="20" spans="1:4" x14ac:dyDescent="0.25">
      <c r="A20">
        <v>1</v>
      </c>
      <c r="B20" t="s">
        <v>7</v>
      </c>
      <c r="C20" t="s">
        <v>17</v>
      </c>
      <c r="D20">
        <v>0.18898182614173054</v>
      </c>
    </row>
    <row r="21" spans="1:4" x14ac:dyDescent="0.25">
      <c r="A21">
        <v>67</v>
      </c>
      <c r="B21" t="s">
        <v>24</v>
      </c>
      <c r="C21" t="s">
        <v>14</v>
      </c>
      <c r="D21">
        <v>0.19895419101833334</v>
      </c>
    </row>
    <row r="22" spans="1:4" x14ac:dyDescent="0.25">
      <c r="A22">
        <v>65</v>
      </c>
      <c r="B22" t="s">
        <v>19</v>
      </c>
      <c r="C22" t="s">
        <v>14</v>
      </c>
      <c r="D22">
        <v>0.20283290283059741</v>
      </c>
    </row>
    <row r="23" spans="1:4" x14ac:dyDescent="0.25">
      <c r="A23">
        <v>92</v>
      </c>
      <c r="B23" t="s">
        <v>10</v>
      </c>
      <c r="C23" t="s">
        <v>20</v>
      </c>
      <c r="D23">
        <v>0.22450712557377084</v>
      </c>
    </row>
    <row r="24" spans="1:4" x14ac:dyDescent="0.25">
      <c r="A24">
        <v>76</v>
      </c>
      <c r="B24" t="s">
        <v>22</v>
      </c>
      <c r="C24" t="s">
        <v>14</v>
      </c>
      <c r="D24">
        <v>0.26356985031910407</v>
      </c>
    </row>
    <row r="25" spans="1:4" x14ac:dyDescent="0.25">
      <c r="A25">
        <v>85</v>
      </c>
      <c r="B25" t="s">
        <v>19</v>
      </c>
      <c r="C25" t="s">
        <v>20</v>
      </c>
      <c r="D25">
        <v>0.26554372850205676</v>
      </c>
    </row>
    <row r="26" spans="1:4" x14ac:dyDescent="0.25">
      <c r="A26">
        <v>82</v>
      </c>
      <c r="B26" t="s">
        <v>10</v>
      </c>
      <c r="C26" t="s">
        <v>20</v>
      </c>
      <c r="D26">
        <v>0.2712026604592187</v>
      </c>
    </row>
    <row r="27" spans="1:4" x14ac:dyDescent="0.25">
      <c r="A27">
        <v>45</v>
      </c>
      <c r="B27" t="s">
        <v>19</v>
      </c>
      <c r="C27" t="s">
        <v>11</v>
      </c>
      <c r="D27">
        <v>0.29248509886732965</v>
      </c>
    </row>
    <row r="28" spans="1:4" x14ac:dyDescent="0.25">
      <c r="A28">
        <v>71</v>
      </c>
      <c r="B28" t="s">
        <v>7</v>
      </c>
      <c r="C28" t="s">
        <v>14</v>
      </c>
      <c r="D28">
        <v>0.29528795069359604</v>
      </c>
    </row>
    <row r="29" spans="1:4" x14ac:dyDescent="0.25">
      <c r="A29">
        <v>25</v>
      </c>
      <c r="B29" t="s">
        <v>19</v>
      </c>
      <c r="C29" t="s">
        <v>8</v>
      </c>
      <c r="D29">
        <v>0.29540798851641481</v>
      </c>
    </row>
    <row r="30" spans="1:4" x14ac:dyDescent="0.25">
      <c r="A30">
        <v>66</v>
      </c>
      <c r="B30" t="s">
        <v>22</v>
      </c>
      <c r="C30" t="s">
        <v>14</v>
      </c>
      <c r="D30">
        <v>0.29958651791157243</v>
      </c>
    </row>
    <row r="31" spans="1:4" x14ac:dyDescent="0.25">
      <c r="A31">
        <v>41</v>
      </c>
      <c r="B31" t="s">
        <v>7</v>
      </c>
      <c r="C31" t="s">
        <v>11</v>
      </c>
      <c r="D31">
        <v>0.32324232806741671</v>
      </c>
    </row>
    <row r="32" spans="1:4" x14ac:dyDescent="0.25">
      <c r="A32">
        <v>52</v>
      </c>
      <c r="B32" t="s">
        <v>10</v>
      </c>
      <c r="C32" t="s">
        <v>11</v>
      </c>
      <c r="D32">
        <v>0.32562099208445194</v>
      </c>
    </row>
    <row r="33" spans="1:4" x14ac:dyDescent="0.25">
      <c r="A33">
        <v>95</v>
      </c>
      <c r="B33" t="s">
        <v>19</v>
      </c>
      <c r="C33" t="s">
        <v>20</v>
      </c>
      <c r="D33">
        <v>0.35514399459753665</v>
      </c>
    </row>
    <row r="34" spans="1:4" x14ac:dyDescent="0.25">
      <c r="A34">
        <v>27</v>
      </c>
      <c r="B34" t="s">
        <v>24</v>
      </c>
      <c r="C34" t="s">
        <v>8</v>
      </c>
      <c r="D34">
        <v>0.35893839763390267</v>
      </c>
    </row>
    <row r="35" spans="1:4" x14ac:dyDescent="0.25">
      <c r="A35">
        <v>14</v>
      </c>
      <c r="B35" t="s">
        <v>16</v>
      </c>
      <c r="C35" t="s">
        <v>17</v>
      </c>
      <c r="D35">
        <v>0.36185700159507994</v>
      </c>
    </row>
    <row r="36" spans="1:4" x14ac:dyDescent="0.25">
      <c r="A36">
        <v>48</v>
      </c>
      <c r="B36" t="s">
        <v>26</v>
      </c>
      <c r="C36" t="s">
        <v>11</v>
      </c>
      <c r="D36">
        <v>0.36881214455456901</v>
      </c>
    </row>
    <row r="37" spans="1:4" x14ac:dyDescent="0.25">
      <c r="A37">
        <v>22</v>
      </c>
      <c r="B37" t="s">
        <v>10</v>
      </c>
      <c r="C37" t="s">
        <v>8</v>
      </c>
      <c r="D37">
        <v>0.37243862356698865</v>
      </c>
    </row>
    <row r="38" spans="1:4" x14ac:dyDescent="0.25">
      <c r="A38">
        <v>20</v>
      </c>
      <c r="B38" t="s">
        <v>30</v>
      </c>
      <c r="C38" t="s">
        <v>17</v>
      </c>
      <c r="D38">
        <v>0.38612015082745565</v>
      </c>
    </row>
    <row r="39" spans="1:4" x14ac:dyDescent="0.25">
      <c r="A39">
        <v>23</v>
      </c>
      <c r="B39" t="s">
        <v>13</v>
      </c>
      <c r="C39" t="s">
        <v>8</v>
      </c>
      <c r="D39">
        <v>0.38980811109619251</v>
      </c>
    </row>
    <row r="40" spans="1:4" x14ac:dyDescent="0.25">
      <c r="A40">
        <v>59</v>
      </c>
      <c r="B40" t="s">
        <v>28</v>
      </c>
      <c r="C40" t="s">
        <v>11</v>
      </c>
      <c r="D40">
        <v>0.42379537375979304</v>
      </c>
    </row>
    <row r="41" spans="1:4" x14ac:dyDescent="0.25">
      <c r="A41">
        <v>60</v>
      </c>
      <c r="B41" t="s">
        <v>30</v>
      </c>
      <c r="C41" t="s">
        <v>11</v>
      </c>
      <c r="D41">
        <v>0.42460153174250448</v>
      </c>
    </row>
    <row r="42" spans="1:4" x14ac:dyDescent="0.25">
      <c r="A42">
        <v>84</v>
      </c>
      <c r="B42" t="s">
        <v>16</v>
      </c>
      <c r="C42" t="s">
        <v>20</v>
      </c>
      <c r="D42">
        <v>0.45315504500470127</v>
      </c>
    </row>
    <row r="43" spans="1:4" x14ac:dyDescent="0.25">
      <c r="A43">
        <v>93</v>
      </c>
      <c r="B43" t="s">
        <v>13</v>
      </c>
      <c r="C43" t="s">
        <v>20</v>
      </c>
      <c r="D43">
        <v>0.45347965712744986</v>
      </c>
    </row>
    <row r="44" spans="1:4" x14ac:dyDescent="0.25">
      <c r="A44">
        <v>81</v>
      </c>
      <c r="B44" t="s">
        <v>7</v>
      </c>
      <c r="C44" t="s">
        <v>20</v>
      </c>
      <c r="D44">
        <v>0.46607207747781032</v>
      </c>
    </row>
    <row r="45" spans="1:4" x14ac:dyDescent="0.25">
      <c r="A45">
        <v>28</v>
      </c>
      <c r="B45" t="s">
        <v>26</v>
      </c>
      <c r="C45" t="s">
        <v>8</v>
      </c>
      <c r="D45">
        <v>0.47166164660346377</v>
      </c>
    </row>
    <row r="46" spans="1:4" x14ac:dyDescent="0.25">
      <c r="A46">
        <v>70</v>
      </c>
      <c r="B46" t="s">
        <v>30</v>
      </c>
      <c r="C46" t="s">
        <v>14</v>
      </c>
      <c r="D46">
        <v>0.49171555576939341</v>
      </c>
    </row>
    <row r="47" spans="1:4" x14ac:dyDescent="0.25">
      <c r="A47">
        <v>24</v>
      </c>
      <c r="B47" t="s">
        <v>16</v>
      </c>
      <c r="C47" t="s">
        <v>8</v>
      </c>
      <c r="D47">
        <v>0.50366399456401822</v>
      </c>
    </row>
    <row r="48" spans="1:4" x14ac:dyDescent="0.25">
      <c r="A48">
        <v>89</v>
      </c>
      <c r="B48" t="s">
        <v>28</v>
      </c>
      <c r="C48" t="s">
        <v>20</v>
      </c>
      <c r="D48">
        <v>0.51842677162301942</v>
      </c>
    </row>
    <row r="49" spans="1:4" x14ac:dyDescent="0.25">
      <c r="A49">
        <v>21</v>
      </c>
      <c r="B49" t="s">
        <v>7</v>
      </c>
      <c r="C49" t="s">
        <v>8</v>
      </c>
      <c r="D49">
        <v>0.52625798412257951</v>
      </c>
    </row>
    <row r="50" spans="1:4" x14ac:dyDescent="0.25">
      <c r="A50">
        <v>26</v>
      </c>
      <c r="B50" t="s">
        <v>22</v>
      </c>
      <c r="C50" t="s">
        <v>8</v>
      </c>
      <c r="D50">
        <v>0.53552010370825909</v>
      </c>
    </row>
    <row r="51" spans="1:4" x14ac:dyDescent="0.25">
      <c r="A51">
        <v>33</v>
      </c>
      <c r="B51" t="s">
        <v>13</v>
      </c>
      <c r="C51" t="s">
        <v>8</v>
      </c>
      <c r="D51">
        <v>0.56208454731243673</v>
      </c>
    </row>
    <row r="52" spans="1:4" x14ac:dyDescent="0.25">
      <c r="A52">
        <v>31</v>
      </c>
      <c r="B52" t="s">
        <v>7</v>
      </c>
      <c r="C52" t="s">
        <v>8</v>
      </c>
      <c r="D52">
        <v>0.56566245207400079</v>
      </c>
    </row>
    <row r="53" spans="1:4" x14ac:dyDescent="0.25">
      <c r="A53">
        <v>88</v>
      </c>
      <c r="B53" t="s">
        <v>26</v>
      </c>
      <c r="C53" t="s">
        <v>20</v>
      </c>
      <c r="D53">
        <v>0.57125482302011865</v>
      </c>
    </row>
    <row r="54" spans="1:4" x14ac:dyDescent="0.25">
      <c r="A54">
        <v>77</v>
      </c>
      <c r="B54" t="s">
        <v>24</v>
      </c>
      <c r="C54" t="s">
        <v>14</v>
      </c>
      <c r="D54">
        <v>0.5858779216621588</v>
      </c>
    </row>
    <row r="55" spans="1:4" x14ac:dyDescent="0.25">
      <c r="A55">
        <v>100</v>
      </c>
      <c r="B55" t="s">
        <v>30</v>
      </c>
      <c r="C55" t="s">
        <v>20</v>
      </c>
      <c r="D55">
        <v>0.60529420020728608</v>
      </c>
    </row>
    <row r="56" spans="1:4" x14ac:dyDescent="0.25">
      <c r="A56">
        <v>34</v>
      </c>
      <c r="B56" t="s">
        <v>16</v>
      </c>
      <c r="C56" t="s">
        <v>8</v>
      </c>
      <c r="D56">
        <v>0.60802519352752582</v>
      </c>
    </row>
    <row r="57" spans="1:4" x14ac:dyDescent="0.25">
      <c r="A57">
        <v>19</v>
      </c>
      <c r="B57" t="s">
        <v>28</v>
      </c>
      <c r="C57" t="s">
        <v>17</v>
      </c>
      <c r="D57">
        <v>0.61474674553274156</v>
      </c>
    </row>
    <row r="58" spans="1:4" x14ac:dyDescent="0.25">
      <c r="A58">
        <v>29</v>
      </c>
      <c r="B58" t="s">
        <v>28</v>
      </c>
      <c r="C58" t="s">
        <v>8</v>
      </c>
      <c r="D58">
        <v>0.61573623118867316</v>
      </c>
    </row>
    <row r="59" spans="1:4" x14ac:dyDescent="0.25">
      <c r="A59">
        <v>56</v>
      </c>
      <c r="B59" t="s">
        <v>22</v>
      </c>
      <c r="C59" t="s">
        <v>11</v>
      </c>
      <c r="D59">
        <v>0.61887655014035181</v>
      </c>
    </row>
    <row r="60" spans="1:4" x14ac:dyDescent="0.25">
      <c r="A60">
        <v>98</v>
      </c>
      <c r="B60" t="s">
        <v>26</v>
      </c>
      <c r="C60" t="s">
        <v>20</v>
      </c>
      <c r="D60">
        <v>0.62026273486496919</v>
      </c>
    </row>
    <row r="61" spans="1:4" x14ac:dyDescent="0.25">
      <c r="A61">
        <v>97</v>
      </c>
      <c r="B61" t="s">
        <v>24</v>
      </c>
      <c r="C61" t="s">
        <v>20</v>
      </c>
      <c r="D61">
        <v>0.62768785920395798</v>
      </c>
    </row>
    <row r="62" spans="1:4" x14ac:dyDescent="0.25">
      <c r="A62">
        <v>17</v>
      </c>
      <c r="B62" t="s">
        <v>24</v>
      </c>
      <c r="C62" t="s">
        <v>17</v>
      </c>
      <c r="D62">
        <v>0.64143788203675589</v>
      </c>
    </row>
    <row r="63" spans="1:4" x14ac:dyDescent="0.25">
      <c r="A63">
        <v>61</v>
      </c>
      <c r="B63" t="s">
        <v>7</v>
      </c>
      <c r="C63" t="s">
        <v>14</v>
      </c>
      <c r="D63">
        <v>0.67328938414477224</v>
      </c>
    </row>
    <row r="64" spans="1:4" x14ac:dyDescent="0.25">
      <c r="A64">
        <v>37</v>
      </c>
      <c r="B64" t="s">
        <v>24</v>
      </c>
      <c r="C64" t="s">
        <v>8</v>
      </c>
      <c r="D64">
        <v>0.69408699905605376</v>
      </c>
    </row>
    <row r="65" spans="1:4" x14ac:dyDescent="0.25">
      <c r="A65">
        <v>4</v>
      </c>
      <c r="B65" t="s">
        <v>16</v>
      </c>
      <c r="C65" t="s">
        <v>17</v>
      </c>
      <c r="D65">
        <v>0.69873584110609666</v>
      </c>
    </row>
    <row r="66" spans="1:4" x14ac:dyDescent="0.25">
      <c r="A66">
        <v>86</v>
      </c>
      <c r="B66" t="s">
        <v>22</v>
      </c>
      <c r="C66" t="s">
        <v>20</v>
      </c>
      <c r="D66">
        <v>0.7050060526095081</v>
      </c>
    </row>
    <row r="67" spans="1:4" x14ac:dyDescent="0.25">
      <c r="A67">
        <v>18</v>
      </c>
      <c r="B67" t="s">
        <v>26</v>
      </c>
      <c r="C67" t="s">
        <v>17</v>
      </c>
      <c r="D67">
        <v>0.71430369251685877</v>
      </c>
    </row>
    <row r="68" spans="1:4" x14ac:dyDescent="0.25">
      <c r="A68">
        <v>63</v>
      </c>
      <c r="B68" t="s">
        <v>13</v>
      </c>
      <c r="C68" t="s">
        <v>14</v>
      </c>
      <c r="D68">
        <v>0.73365981368489297</v>
      </c>
    </row>
    <row r="69" spans="1:4" x14ac:dyDescent="0.25">
      <c r="A69">
        <v>99</v>
      </c>
      <c r="B69" t="s">
        <v>28</v>
      </c>
      <c r="C69" t="s">
        <v>20</v>
      </c>
      <c r="D69">
        <v>0.73394699334940594</v>
      </c>
    </row>
    <row r="70" spans="1:4" x14ac:dyDescent="0.25">
      <c r="A70">
        <v>8</v>
      </c>
      <c r="B70" t="s">
        <v>26</v>
      </c>
      <c r="C70" t="s">
        <v>17</v>
      </c>
      <c r="D70">
        <v>0.73414559961957926</v>
      </c>
    </row>
    <row r="71" spans="1:4" x14ac:dyDescent="0.25">
      <c r="A71">
        <v>13</v>
      </c>
      <c r="B71" t="s">
        <v>13</v>
      </c>
      <c r="C71" t="s">
        <v>17</v>
      </c>
      <c r="D71">
        <v>0.74418321782923913</v>
      </c>
    </row>
    <row r="72" spans="1:4" x14ac:dyDescent="0.25">
      <c r="A72">
        <v>62</v>
      </c>
      <c r="B72" t="s">
        <v>10</v>
      </c>
      <c r="C72" t="s">
        <v>14</v>
      </c>
      <c r="D72">
        <v>0.74464950364179539</v>
      </c>
    </row>
    <row r="73" spans="1:4" x14ac:dyDescent="0.25">
      <c r="A73">
        <v>9</v>
      </c>
      <c r="B73" t="s">
        <v>28</v>
      </c>
      <c r="C73" t="s">
        <v>17</v>
      </c>
      <c r="D73">
        <v>0.76681752541809201</v>
      </c>
    </row>
    <row r="74" spans="1:4" x14ac:dyDescent="0.25">
      <c r="A74">
        <v>6</v>
      </c>
      <c r="B74" t="s">
        <v>22</v>
      </c>
      <c r="C74" t="s">
        <v>17</v>
      </c>
      <c r="D74">
        <v>0.77156918120034101</v>
      </c>
    </row>
    <row r="75" spans="1:4" x14ac:dyDescent="0.25">
      <c r="A75">
        <v>83</v>
      </c>
      <c r="B75" t="s">
        <v>13</v>
      </c>
      <c r="C75" t="s">
        <v>20</v>
      </c>
      <c r="D75">
        <v>0.78250737705657791</v>
      </c>
    </row>
    <row r="76" spans="1:4" x14ac:dyDescent="0.25">
      <c r="A76">
        <v>69</v>
      </c>
      <c r="B76" t="s">
        <v>28</v>
      </c>
      <c r="C76" t="s">
        <v>14</v>
      </c>
      <c r="D76">
        <v>0.78394688902915466</v>
      </c>
    </row>
    <row r="77" spans="1:4" x14ac:dyDescent="0.25">
      <c r="A77">
        <v>90</v>
      </c>
      <c r="B77" t="s">
        <v>30</v>
      </c>
      <c r="C77" t="s">
        <v>20</v>
      </c>
      <c r="D77">
        <v>0.79930356301019989</v>
      </c>
    </row>
    <row r="78" spans="1:4" x14ac:dyDescent="0.25">
      <c r="A78">
        <v>7</v>
      </c>
      <c r="B78" t="s">
        <v>24</v>
      </c>
      <c r="C78" t="s">
        <v>17</v>
      </c>
      <c r="D78">
        <v>0.80027957736675992</v>
      </c>
    </row>
    <row r="79" spans="1:4" x14ac:dyDescent="0.25">
      <c r="A79">
        <v>79</v>
      </c>
      <c r="B79" t="s">
        <v>28</v>
      </c>
      <c r="C79" t="s">
        <v>14</v>
      </c>
      <c r="D79">
        <v>0.81192850643982917</v>
      </c>
    </row>
    <row r="80" spans="1:4" x14ac:dyDescent="0.25">
      <c r="A80">
        <v>94</v>
      </c>
      <c r="B80" t="s">
        <v>16</v>
      </c>
      <c r="C80" t="s">
        <v>20</v>
      </c>
      <c r="D80">
        <v>0.81864875098748291</v>
      </c>
    </row>
    <row r="81" spans="1:4" x14ac:dyDescent="0.25">
      <c r="A81">
        <v>73</v>
      </c>
      <c r="B81" t="s">
        <v>13</v>
      </c>
      <c r="C81" t="s">
        <v>14</v>
      </c>
      <c r="D81">
        <v>0.81966989090307951</v>
      </c>
    </row>
    <row r="82" spans="1:4" x14ac:dyDescent="0.25">
      <c r="A82">
        <v>74</v>
      </c>
      <c r="B82" t="s">
        <v>16</v>
      </c>
      <c r="C82" t="s">
        <v>14</v>
      </c>
      <c r="D82">
        <v>0.84830979600857814</v>
      </c>
    </row>
    <row r="83" spans="1:4" x14ac:dyDescent="0.25">
      <c r="A83">
        <v>96</v>
      </c>
      <c r="B83" t="s">
        <v>22</v>
      </c>
      <c r="C83" t="s">
        <v>20</v>
      </c>
      <c r="D83">
        <v>0.85078494193426335</v>
      </c>
    </row>
    <row r="84" spans="1:4" x14ac:dyDescent="0.25">
      <c r="A84">
        <v>87</v>
      </c>
      <c r="B84" t="s">
        <v>24</v>
      </c>
      <c r="C84" t="s">
        <v>20</v>
      </c>
      <c r="D84">
        <v>0.86038145979918257</v>
      </c>
    </row>
    <row r="85" spans="1:4" x14ac:dyDescent="0.25">
      <c r="A85">
        <v>10</v>
      </c>
      <c r="B85" t="s">
        <v>30</v>
      </c>
      <c r="C85" t="s">
        <v>17</v>
      </c>
      <c r="D85">
        <v>0.86074302739302999</v>
      </c>
    </row>
    <row r="86" spans="1:4" x14ac:dyDescent="0.25">
      <c r="A86">
        <v>91</v>
      </c>
      <c r="B86" t="s">
        <v>7</v>
      </c>
      <c r="C86" t="s">
        <v>20</v>
      </c>
      <c r="D86">
        <v>0.86201357011330171</v>
      </c>
    </row>
    <row r="87" spans="1:4" x14ac:dyDescent="0.25">
      <c r="A87">
        <v>72</v>
      </c>
      <c r="B87" t="s">
        <v>10</v>
      </c>
      <c r="C87" t="s">
        <v>14</v>
      </c>
      <c r="D87">
        <v>0.86279922210541815</v>
      </c>
    </row>
    <row r="88" spans="1:4" x14ac:dyDescent="0.25">
      <c r="A88">
        <v>40</v>
      </c>
      <c r="B88" t="s">
        <v>30</v>
      </c>
      <c r="C88" t="s">
        <v>8</v>
      </c>
      <c r="D88">
        <v>0.87601907468689399</v>
      </c>
    </row>
    <row r="89" spans="1:4" x14ac:dyDescent="0.25">
      <c r="A89">
        <v>16</v>
      </c>
      <c r="B89" t="s">
        <v>22</v>
      </c>
      <c r="C89" t="s">
        <v>17</v>
      </c>
      <c r="D89">
        <v>0.8828777879021511</v>
      </c>
    </row>
    <row r="90" spans="1:4" x14ac:dyDescent="0.25">
      <c r="A90">
        <v>35</v>
      </c>
      <c r="B90" t="s">
        <v>19</v>
      </c>
      <c r="C90" t="s">
        <v>8</v>
      </c>
      <c r="D90">
        <v>0.88425828013486008</v>
      </c>
    </row>
    <row r="91" spans="1:4" x14ac:dyDescent="0.25">
      <c r="A91">
        <v>75</v>
      </c>
      <c r="B91" t="s">
        <v>19</v>
      </c>
      <c r="C91" t="s">
        <v>14</v>
      </c>
      <c r="D91">
        <v>0.88976480870391994</v>
      </c>
    </row>
    <row r="92" spans="1:4" x14ac:dyDescent="0.25">
      <c r="A92">
        <v>43</v>
      </c>
      <c r="B92" t="s">
        <v>13</v>
      </c>
      <c r="C92" t="s">
        <v>11</v>
      </c>
      <c r="D92">
        <v>0.89216810120643786</v>
      </c>
    </row>
    <row r="93" spans="1:4" x14ac:dyDescent="0.25">
      <c r="A93">
        <v>49</v>
      </c>
      <c r="B93" t="s">
        <v>28</v>
      </c>
      <c r="C93" t="s">
        <v>11</v>
      </c>
      <c r="D93">
        <v>0.89680810655116139</v>
      </c>
    </row>
    <row r="94" spans="1:4" x14ac:dyDescent="0.25">
      <c r="A94">
        <v>3</v>
      </c>
      <c r="B94" t="s">
        <v>13</v>
      </c>
      <c r="C94" t="s">
        <v>17</v>
      </c>
      <c r="D94">
        <v>0.92007021642778164</v>
      </c>
    </row>
    <row r="95" spans="1:4" x14ac:dyDescent="0.25">
      <c r="A95">
        <v>57</v>
      </c>
      <c r="B95" t="s">
        <v>24</v>
      </c>
      <c r="C95" t="s">
        <v>11</v>
      </c>
      <c r="D95">
        <v>0.93634164026844569</v>
      </c>
    </row>
    <row r="96" spans="1:4" x14ac:dyDescent="0.25">
      <c r="A96">
        <v>55</v>
      </c>
      <c r="B96" t="s">
        <v>19</v>
      </c>
      <c r="C96" t="s">
        <v>11</v>
      </c>
      <c r="D96">
        <v>0.93889927817965024</v>
      </c>
    </row>
    <row r="97" spans="1:4" x14ac:dyDescent="0.25">
      <c r="A97">
        <v>50</v>
      </c>
      <c r="B97" t="s">
        <v>30</v>
      </c>
      <c r="C97" t="s">
        <v>11</v>
      </c>
      <c r="D97">
        <v>0.96287484448758498</v>
      </c>
    </row>
    <row r="98" spans="1:4" x14ac:dyDescent="0.25">
      <c r="A98">
        <v>44</v>
      </c>
      <c r="B98" t="s">
        <v>16</v>
      </c>
      <c r="C98" t="s">
        <v>11</v>
      </c>
      <c r="D98">
        <v>0.96527631465387831</v>
      </c>
    </row>
    <row r="99" spans="1:4" x14ac:dyDescent="0.25">
      <c r="A99">
        <v>54</v>
      </c>
      <c r="B99" t="s">
        <v>16</v>
      </c>
      <c r="C99" t="s">
        <v>11</v>
      </c>
      <c r="D99">
        <v>0.9717554676833986</v>
      </c>
    </row>
    <row r="100" spans="1:4" x14ac:dyDescent="0.25">
      <c r="A100">
        <v>68</v>
      </c>
      <c r="B100" t="s">
        <v>26</v>
      </c>
      <c r="C100" t="s">
        <v>14</v>
      </c>
      <c r="D100">
        <v>0.99099513371166315</v>
      </c>
    </row>
    <row r="101" spans="1:4" x14ac:dyDescent="0.25">
      <c r="A101">
        <v>11</v>
      </c>
      <c r="B101" t="s">
        <v>7</v>
      </c>
      <c r="C101" t="s">
        <v>17</v>
      </c>
      <c r="D101">
        <v>0.99373023475563038</v>
      </c>
    </row>
  </sheetData>
  <sortState xmlns:xlrd2="http://schemas.microsoft.com/office/spreadsheetml/2017/richdata2" ref="A2:D101">
    <sortCondition ref="D2:D1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A21E-1660-4CD1-BAAC-79F9A9633723}">
  <dimension ref="A1:G101"/>
  <sheetViews>
    <sheetView workbookViewId="0">
      <selection activeCell="F25" sqref="F25"/>
    </sheetView>
  </sheetViews>
  <sheetFormatPr defaultRowHeight="15" x14ac:dyDescent="0.25"/>
  <cols>
    <col min="1" max="1" width="14.140625" customWidth="1"/>
    <col min="2" max="2" width="14.5703125" customWidth="1"/>
    <col min="3" max="3" width="14.140625" customWidth="1"/>
    <col min="5" max="5" width="18.7109375" customWidth="1"/>
  </cols>
  <sheetData>
    <row r="1" spans="1:7" x14ac:dyDescent="0.25">
      <c r="A1" t="s">
        <v>3</v>
      </c>
      <c r="B1" t="s">
        <v>4</v>
      </c>
      <c r="C1" t="s">
        <v>5</v>
      </c>
      <c r="D1" t="s">
        <v>217</v>
      </c>
      <c r="E1" t="s">
        <v>219</v>
      </c>
    </row>
    <row r="2" spans="1:7" x14ac:dyDescent="0.25">
      <c r="A2">
        <v>1</v>
      </c>
      <c r="B2" t="s">
        <v>7</v>
      </c>
      <c r="C2" t="s">
        <v>17</v>
      </c>
      <c r="D2" cm="1">
        <f t="array" ref="D2:D101">INT((A2:A101-1)/20)+1</f>
        <v>1</v>
      </c>
      <c r="E2" t="str">
        <f>CHAR(64+INT((A2-1)/20)+1)</f>
        <v>A</v>
      </c>
    </row>
    <row r="3" spans="1:7" x14ac:dyDescent="0.25">
      <c r="A3">
        <v>2</v>
      </c>
      <c r="B3" t="s">
        <v>10</v>
      </c>
      <c r="C3" t="s">
        <v>17</v>
      </c>
      <c r="D3">
        <v>1</v>
      </c>
      <c r="E3" t="str">
        <f t="shared" ref="E3:E66" si="0">CHAR(64+INT((A3-1)/20)+1)</f>
        <v>A</v>
      </c>
    </row>
    <row r="4" spans="1:7" x14ac:dyDescent="0.25">
      <c r="A4">
        <v>3</v>
      </c>
      <c r="B4" t="s">
        <v>13</v>
      </c>
      <c r="C4" t="s">
        <v>17</v>
      </c>
      <c r="D4">
        <v>1</v>
      </c>
      <c r="E4" t="str">
        <f t="shared" si="0"/>
        <v>A</v>
      </c>
    </row>
    <row r="5" spans="1:7" x14ac:dyDescent="0.25">
      <c r="A5">
        <v>4</v>
      </c>
      <c r="B5" t="s">
        <v>16</v>
      </c>
      <c r="C5" t="s">
        <v>17</v>
      </c>
      <c r="D5">
        <v>1</v>
      </c>
      <c r="E5" t="str">
        <f t="shared" si="0"/>
        <v>A</v>
      </c>
    </row>
    <row r="6" spans="1:7" x14ac:dyDescent="0.25">
      <c r="A6">
        <v>5</v>
      </c>
      <c r="B6" t="s">
        <v>19</v>
      </c>
      <c r="C6" t="s">
        <v>17</v>
      </c>
      <c r="D6">
        <v>1</v>
      </c>
      <c r="E6" t="str">
        <f t="shared" si="0"/>
        <v>A</v>
      </c>
      <c r="G6" t="s">
        <v>211</v>
      </c>
    </row>
    <row r="7" spans="1:7" x14ac:dyDescent="0.25">
      <c r="A7">
        <v>6</v>
      </c>
      <c r="B7" t="s">
        <v>22</v>
      </c>
      <c r="C7" t="s">
        <v>17</v>
      </c>
      <c r="D7">
        <v>1</v>
      </c>
      <c r="E7" t="str">
        <f t="shared" si="0"/>
        <v>A</v>
      </c>
      <c r="G7" t="s">
        <v>210</v>
      </c>
    </row>
    <row r="8" spans="1:7" x14ac:dyDescent="0.25">
      <c r="A8">
        <v>7</v>
      </c>
      <c r="B8" t="s">
        <v>24</v>
      </c>
      <c r="C8" t="s">
        <v>17</v>
      </c>
      <c r="D8">
        <v>1</v>
      </c>
      <c r="E8" t="str">
        <f t="shared" si="0"/>
        <v>A</v>
      </c>
      <c r="G8">
        <f>INT((A4-1)/20)+1</f>
        <v>1</v>
      </c>
    </row>
    <row r="9" spans="1:7" x14ac:dyDescent="0.25">
      <c r="A9">
        <v>8</v>
      </c>
      <c r="B9" t="s">
        <v>26</v>
      </c>
      <c r="C9" t="s">
        <v>17</v>
      </c>
      <c r="D9">
        <v>1</v>
      </c>
      <c r="E9" t="str">
        <f t="shared" si="0"/>
        <v>A</v>
      </c>
      <c r="G9" t="s">
        <v>212</v>
      </c>
    </row>
    <row r="10" spans="1:7" x14ac:dyDescent="0.25">
      <c r="A10">
        <v>9</v>
      </c>
      <c r="B10" t="s">
        <v>28</v>
      </c>
      <c r="C10" t="s">
        <v>17</v>
      </c>
      <c r="D10">
        <v>1</v>
      </c>
      <c r="E10" t="str">
        <f t="shared" si="0"/>
        <v>A</v>
      </c>
      <c r="G10" t="s">
        <v>216</v>
      </c>
    </row>
    <row r="11" spans="1:7" x14ac:dyDescent="0.25">
      <c r="A11">
        <v>10</v>
      </c>
      <c r="B11" t="s">
        <v>30</v>
      </c>
      <c r="C11" t="s">
        <v>17</v>
      </c>
      <c r="D11">
        <v>1</v>
      </c>
      <c r="E11" t="str">
        <f t="shared" si="0"/>
        <v>A</v>
      </c>
      <c r="G11" t="s">
        <v>220</v>
      </c>
    </row>
    <row r="12" spans="1:7" x14ac:dyDescent="0.25">
      <c r="A12">
        <v>11</v>
      </c>
      <c r="B12" t="s">
        <v>7</v>
      </c>
      <c r="C12" t="s">
        <v>17</v>
      </c>
      <c r="D12">
        <v>1</v>
      </c>
      <c r="E12" t="str">
        <f t="shared" si="0"/>
        <v>A</v>
      </c>
      <c r="G12" t="s">
        <v>222</v>
      </c>
    </row>
    <row r="13" spans="1:7" x14ac:dyDescent="0.25">
      <c r="A13">
        <v>12</v>
      </c>
      <c r="B13" t="s">
        <v>10</v>
      </c>
      <c r="C13" t="s">
        <v>17</v>
      </c>
      <c r="D13">
        <v>1</v>
      </c>
      <c r="E13" t="str">
        <f t="shared" si="0"/>
        <v>A</v>
      </c>
    </row>
    <row r="14" spans="1:7" x14ac:dyDescent="0.25">
      <c r="A14">
        <v>13</v>
      </c>
      <c r="B14" t="s">
        <v>13</v>
      </c>
      <c r="C14" t="s">
        <v>17</v>
      </c>
      <c r="D14">
        <v>1</v>
      </c>
      <c r="E14" t="str">
        <f t="shared" si="0"/>
        <v>A</v>
      </c>
    </row>
    <row r="15" spans="1:7" x14ac:dyDescent="0.25">
      <c r="A15">
        <v>14</v>
      </c>
      <c r="B15" t="s">
        <v>16</v>
      </c>
      <c r="C15" t="s">
        <v>17</v>
      </c>
      <c r="D15">
        <v>1</v>
      </c>
      <c r="E15" t="str">
        <f t="shared" si="0"/>
        <v>A</v>
      </c>
    </row>
    <row r="16" spans="1:7" x14ac:dyDescent="0.25">
      <c r="A16">
        <v>15</v>
      </c>
      <c r="B16" t="s">
        <v>19</v>
      </c>
      <c r="C16" t="s">
        <v>17</v>
      </c>
      <c r="D16">
        <v>1</v>
      </c>
      <c r="E16" t="str">
        <f t="shared" si="0"/>
        <v>A</v>
      </c>
    </row>
    <row r="17" spans="1:5" x14ac:dyDescent="0.25">
      <c r="A17">
        <v>16</v>
      </c>
      <c r="B17" t="s">
        <v>22</v>
      </c>
      <c r="C17" t="s">
        <v>17</v>
      </c>
      <c r="D17">
        <v>1</v>
      </c>
      <c r="E17" t="str">
        <f t="shared" si="0"/>
        <v>A</v>
      </c>
    </row>
    <row r="18" spans="1:5" x14ac:dyDescent="0.25">
      <c r="A18">
        <v>17</v>
      </c>
      <c r="B18" t="s">
        <v>24</v>
      </c>
      <c r="C18" t="s">
        <v>17</v>
      </c>
      <c r="D18">
        <v>1</v>
      </c>
      <c r="E18" t="str">
        <f t="shared" si="0"/>
        <v>A</v>
      </c>
    </row>
    <row r="19" spans="1:5" x14ac:dyDescent="0.25">
      <c r="A19">
        <v>18</v>
      </c>
      <c r="B19" t="s">
        <v>26</v>
      </c>
      <c r="C19" t="s">
        <v>17</v>
      </c>
      <c r="D19">
        <v>1</v>
      </c>
      <c r="E19" t="str">
        <f t="shared" si="0"/>
        <v>A</v>
      </c>
    </row>
    <row r="20" spans="1:5" x14ac:dyDescent="0.25">
      <c r="A20">
        <v>19</v>
      </c>
      <c r="B20" t="s">
        <v>28</v>
      </c>
      <c r="C20" t="s">
        <v>17</v>
      </c>
      <c r="D20">
        <v>1</v>
      </c>
      <c r="E20" t="str">
        <f t="shared" si="0"/>
        <v>A</v>
      </c>
    </row>
    <row r="21" spans="1:5" x14ac:dyDescent="0.25">
      <c r="A21">
        <v>20</v>
      </c>
      <c r="B21" t="s">
        <v>30</v>
      </c>
      <c r="C21" t="s">
        <v>17</v>
      </c>
      <c r="D21">
        <v>1</v>
      </c>
      <c r="E21" t="str">
        <f t="shared" si="0"/>
        <v>A</v>
      </c>
    </row>
    <row r="22" spans="1:5" x14ac:dyDescent="0.25">
      <c r="A22">
        <v>21</v>
      </c>
      <c r="B22" t="s">
        <v>7</v>
      </c>
      <c r="C22" t="s">
        <v>8</v>
      </c>
      <c r="D22">
        <v>2</v>
      </c>
      <c r="E22" t="str">
        <f t="shared" si="0"/>
        <v>B</v>
      </c>
    </row>
    <row r="23" spans="1:5" x14ac:dyDescent="0.25">
      <c r="A23">
        <v>22</v>
      </c>
      <c r="B23" t="s">
        <v>10</v>
      </c>
      <c r="C23" t="s">
        <v>8</v>
      </c>
      <c r="D23">
        <v>2</v>
      </c>
      <c r="E23" t="str">
        <f t="shared" si="0"/>
        <v>B</v>
      </c>
    </row>
    <row r="24" spans="1:5" x14ac:dyDescent="0.25">
      <c r="A24">
        <v>23</v>
      </c>
      <c r="B24" t="s">
        <v>13</v>
      </c>
      <c r="C24" t="s">
        <v>8</v>
      </c>
      <c r="D24">
        <v>2</v>
      </c>
      <c r="E24" t="str">
        <f t="shared" si="0"/>
        <v>B</v>
      </c>
    </row>
    <row r="25" spans="1:5" x14ac:dyDescent="0.25">
      <c r="A25">
        <v>24</v>
      </c>
      <c r="B25" t="s">
        <v>16</v>
      </c>
      <c r="C25" t="s">
        <v>8</v>
      </c>
      <c r="D25">
        <v>2</v>
      </c>
      <c r="E25" t="str">
        <f t="shared" si="0"/>
        <v>B</v>
      </c>
    </row>
    <row r="26" spans="1:5" x14ac:dyDescent="0.25">
      <c r="A26">
        <v>25</v>
      </c>
      <c r="B26" t="s">
        <v>19</v>
      </c>
      <c r="C26" t="s">
        <v>8</v>
      </c>
      <c r="D26">
        <v>2</v>
      </c>
      <c r="E26" t="str">
        <f t="shared" si="0"/>
        <v>B</v>
      </c>
    </row>
    <row r="27" spans="1:5" x14ac:dyDescent="0.25">
      <c r="A27">
        <v>26</v>
      </c>
      <c r="B27" t="s">
        <v>22</v>
      </c>
      <c r="C27" t="s">
        <v>8</v>
      </c>
      <c r="D27">
        <v>2</v>
      </c>
      <c r="E27" t="str">
        <f t="shared" si="0"/>
        <v>B</v>
      </c>
    </row>
    <row r="28" spans="1:5" x14ac:dyDescent="0.25">
      <c r="A28">
        <v>27</v>
      </c>
      <c r="B28" t="s">
        <v>24</v>
      </c>
      <c r="C28" t="s">
        <v>8</v>
      </c>
      <c r="D28">
        <v>2</v>
      </c>
      <c r="E28" t="str">
        <f t="shared" si="0"/>
        <v>B</v>
      </c>
    </row>
    <row r="29" spans="1:5" x14ac:dyDescent="0.25">
      <c r="A29">
        <v>28</v>
      </c>
      <c r="B29" t="s">
        <v>26</v>
      </c>
      <c r="C29" t="s">
        <v>8</v>
      </c>
      <c r="D29">
        <v>2</v>
      </c>
      <c r="E29" t="str">
        <f t="shared" si="0"/>
        <v>B</v>
      </c>
    </row>
    <row r="30" spans="1:5" x14ac:dyDescent="0.25">
      <c r="A30">
        <v>29</v>
      </c>
      <c r="B30" t="s">
        <v>28</v>
      </c>
      <c r="C30" t="s">
        <v>8</v>
      </c>
      <c r="D30">
        <v>2</v>
      </c>
      <c r="E30" t="str">
        <f t="shared" si="0"/>
        <v>B</v>
      </c>
    </row>
    <row r="31" spans="1:5" x14ac:dyDescent="0.25">
      <c r="A31">
        <v>30</v>
      </c>
      <c r="B31" t="s">
        <v>30</v>
      </c>
      <c r="C31" t="s">
        <v>8</v>
      </c>
      <c r="D31">
        <v>2</v>
      </c>
      <c r="E31" t="str">
        <f t="shared" si="0"/>
        <v>B</v>
      </c>
    </row>
    <row r="32" spans="1:5" x14ac:dyDescent="0.25">
      <c r="A32">
        <v>31</v>
      </c>
      <c r="B32" t="s">
        <v>7</v>
      </c>
      <c r="C32" t="s">
        <v>8</v>
      </c>
      <c r="D32">
        <v>2</v>
      </c>
      <c r="E32" t="str">
        <f t="shared" si="0"/>
        <v>B</v>
      </c>
    </row>
    <row r="33" spans="1:5" x14ac:dyDescent="0.25">
      <c r="A33">
        <v>32</v>
      </c>
      <c r="B33" t="s">
        <v>10</v>
      </c>
      <c r="C33" t="s">
        <v>8</v>
      </c>
      <c r="D33">
        <v>2</v>
      </c>
      <c r="E33" t="str">
        <f t="shared" si="0"/>
        <v>B</v>
      </c>
    </row>
    <row r="34" spans="1:5" x14ac:dyDescent="0.25">
      <c r="A34">
        <v>33</v>
      </c>
      <c r="B34" t="s">
        <v>13</v>
      </c>
      <c r="C34" t="s">
        <v>8</v>
      </c>
      <c r="D34">
        <v>2</v>
      </c>
      <c r="E34" t="str">
        <f t="shared" si="0"/>
        <v>B</v>
      </c>
    </row>
    <row r="35" spans="1:5" x14ac:dyDescent="0.25">
      <c r="A35">
        <v>34</v>
      </c>
      <c r="B35" t="s">
        <v>16</v>
      </c>
      <c r="C35" t="s">
        <v>8</v>
      </c>
      <c r="D35">
        <v>2</v>
      </c>
      <c r="E35" t="str">
        <f t="shared" si="0"/>
        <v>B</v>
      </c>
    </row>
    <row r="36" spans="1:5" x14ac:dyDescent="0.25">
      <c r="A36">
        <v>35</v>
      </c>
      <c r="B36" t="s">
        <v>19</v>
      </c>
      <c r="C36" t="s">
        <v>8</v>
      </c>
      <c r="D36">
        <v>2</v>
      </c>
      <c r="E36" t="str">
        <f t="shared" si="0"/>
        <v>B</v>
      </c>
    </row>
    <row r="37" spans="1:5" x14ac:dyDescent="0.25">
      <c r="A37">
        <v>36</v>
      </c>
      <c r="B37" t="s">
        <v>22</v>
      </c>
      <c r="C37" t="s">
        <v>8</v>
      </c>
      <c r="D37">
        <v>2</v>
      </c>
      <c r="E37" t="str">
        <f t="shared" si="0"/>
        <v>B</v>
      </c>
    </row>
    <row r="38" spans="1:5" x14ac:dyDescent="0.25">
      <c r="A38">
        <v>37</v>
      </c>
      <c r="B38" t="s">
        <v>24</v>
      </c>
      <c r="C38" t="s">
        <v>8</v>
      </c>
      <c r="D38">
        <v>2</v>
      </c>
      <c r="E38" t="str">
        <f t="shared" si="0"/>
        <v>B</v>
      </c>
    </row>
    <row r="39" spans="1:5" x14ac:dyDescent="0.25">
      <c r="A39">
        <v>38</v>
      </c>
      <c r="B39" t="s">
        <v>26</v>
      </c>
      <c r="C39" t="s">
        <v>8</v>
      </c>
      <c r="D39">
        <v>2</v>
      </c>
      <c r="E39" t="str">
        <f t="shared" si="0"/>
        <v>B</v>
      </c>
    </row>
    <row r="40" spans="1:5" x14ac:dyDescent="0.25">
      <c r="A40">
        <v>39</v>
      </c>
      <c r="B40" t="s">
        <v>28</v>
      </c>
      <c r="C40" t="s">
        <v>8</v>
      </c>
      <c r="D40">
        <v>2</v>
      </c>
      <c r="E40" t="str">
        <f t="shared" si="0"/>
        <v>B</v>
      </c>
    </row>
    <row r="41" spans="1:5" x14ac:dyDescent="0.25">
      <c r="A41">
        <v>40</v>
      </c>
      <c r="B41" t="s">
        <v>30</v>
      </c>
      <c r="C41" t="s">
        <v>8</v>
      </c>
      <c r="D41">
        <v>2</v>
      </c>
      <c r="E41" t="str">
        <f t="shared" si="0"/>
        <v>B</v>
      </c>
    </row>
    <row r="42" spans="1:5" x14ac:dyDescent="0.25">
      <c r="A42">
        <v>41</v>
      </c>
      <c r="B42" t="s">
        <v>7</v>
      </c>
      <c r="C42" t="s">
        <v>11</v>
      </c>
      <c r="D42">
        <v>3</v>
      </c>
      <c r="E42" t="str">
        <f t="shared" si="0"/>
        <v>C</v>
      </c>
    </row>
    <row r="43" spans="1:5" x14ac:dyDescent="0.25">
      <c r="A43">
        <v>42</v>
      </c>
      <c r="B43" t="s">
        <v>10</v>
      </c>
      <c r="C43" t="s">
        <v>11</v>
      </c>
      <c r="D43">
        <v>3</v>
      </c>
      <c r="E43" t="str">
        <f t="shared" si="0"/>
        <v>C</v>
      </c>
    </row>
    <row r="44" spans="1:5" x14ac:dyDescent="0.25">
      <c r="A44">
        <v>43</v>
      </c>
      <c r="B44" t="s">
        <v>13</v>
      </c>
      <c r="C44" t="s">
        <v>11</v>
      </c>
      <c r="D44">
        <v>3</v>
      </c>
      <c r="E44" t="str">
        <f t="shared" si="0"/>
        <v>C</v>
      </c>
    </row>
    <row r="45" spans="1:5" x14ac:dyDescent="0.25">
      <c r="A45">
        <v>44</v>
      </c>
      <c r="B45" t="s">
        <v>16</v>
      </c>
      <c r="C45" t="s">
        <v>11</v>
      </c>
      <c r="D45">
        <v>3</v>
      </c>
      <c r="E45" t="str">
        <f t="shared" si="0"/>
        <v>C</v>
      </c>
    </row>
    <row r="46" spans="1:5" x14ac:dyDescent="0.25">
      <c r="A46">
        <v>45</v>
      </c>
      <c r="B46" t="s">
        <v>19</v>
      </c>
      <c r="C46" t="s">
        <v>11</v>
      </c>
      <c r="D46">
        <v>3</v>
      </c>
      <c r="E46" t="str">
        <f t="shared" si="0"/>
        <v>C</v>
      </c>
    </row>
    <row r="47" spans="1:5" x14ac:dyDescent="0.25">
      <c r="A47">
        <v>46</v>
      </c>
      <c r="B47" t="s">
        <v>22</v>
      </c>
      <c r="C47" t="s">
        <v>11</v>
      </c>
      <c r="D47">
        <v>3</v>
      </c>
      <c r="E47" t="str">
        <f t="shared" si="0"/>
        <v>C</v>
      </c>
    </row>
    <row r="48" spans="1:5" x14ac:dyDescent="0.25">
      <c r="A48">
        <v>47</v>
      </c>
      <c r="B48" t="s">
        <v>24</v>
      </c>
      <c r="C48" t="s">
        <v>11</v>
      </c>
      <c r="D48">
        <v>3</v>
      </c>
      <c r="E48" t="str">
        <f t="shared" si="0"/>
        <v>C</v>
      </c>
    </row>
    <row r="49" spans="1:5" x14ac:dyDescent="0.25">
      <c r="A49">
        <v>48</v>
      </c>
      <c r="B49" t="s">
        <v>26</v>
      </c>
      <c r="C49" t="s">
        <v>11</v>
      </c>
      <c r="D49">
        <v>3</v>
      </c>
      <c r="E49" t="str">
        <f t="shared" si="0"/>
        <v>C</v>
      </c>
    </row>
    <row r="50" spans="1:5" x14ac:dyDescent="0.25">
      <c r="A50">
        <v>49</v>
      </c>
      <c r="B50" t="s">
        <v>28</v>
      </c>
      <c r="C50" t="s">
        <v>11</v>
      </c>
      <c r="D50">
        <v>3</v>
      </c>
      <c r="E50" t="str">
        <f t="shared" si="0"/>
        <v>C</v>
      </c>
    </row>
    <row r="51" spans="1:5" x14ac:dyDescent="0.25">
      <c r="A51">
        <v>50</v>
      </c>
      <c r="B51" t="s">
        <v>30</v>
      </c>
      <c r="C51" t="s">
        <v>11</v>
      </c>
      <c r="D51">
        <v>3</v>
      </c>
      <c r="E51" t="str">
        <f t="shared" si="0"/>
        <v>C</v>
      </c>
    </row>
    <row r="52" spans="1:5" x14ac:dyDescent="0.25">
      <c r="A52">
        <v>51</v>
      </c>
      <c r="B52" t="s">
        <v>7</v>
      </c>
      <c r="C52" t="s">
        <v>11</v>
      </c>
      <c r="D52">
        <v>3</v>
      </c>
      <c r="E52" t="str">
        <f t="shared" si="0"/>
        <v>C</v>
      </c>
    </row>
    <row r="53" spans="1:5" x14ac:dyDescent="0.25">
      <c r="A53">
        <v>52</v>
      </c>
      <c r="B53" t="s">
        <v>10</v>
      </c>
      <c r="C53" t="s">
        <v>11</v>
      </c>
      <c r="D53">
        <v>3</v>
      </c>
      <c r="E53" t="str">
        <f t="shared" si="0"/>
        <v>C</v>
      </c>
    </row>
    <row r="54" spans="1:5" x14ac:dyDescent="0.25">
      <c r="A54">
        <v>53</v>
      </c>
      <c r="B54" t="s">
        <v>13</v>
      </c>
      <c r="C54" t="s">
        <v>11</v>
      </c>
      <c r="D54">
        <v>3</v>
      </c>
      <c r="E54" t="str">
        <f t="shared" si="0"/>
        <v>C</v>
      </c>
    </row>
    <row r="55" spans="1:5" x14ac:dyDescent="0.25">
      <c r="A55">
        <v>54</v>
      </c>
      <c r="B55" t="s">
        <v>16</v>
      </c>
      <c r="C55" t="s">
        <v>11</v>
      </c>
      <c r="D55">
        <v>3</v>
      </c>
      <c r="E55" t="str">
        <f t="shared" si="0"/>
        <v>C</v>
      </c>
    </row>
    <row r="56" spans="1:5" x14ac:dyDescent="0.25">
      <c r="A56">
        <v>55</v>
      </c>
      <c r="B56" t="s">
        <v>19</v>
      </c>
      <c r="C56" t="s">
        <v>11</v>
      </c>
      <c r="D56">
        <v>3</v>
      </c>
      <c r="E56" t="str">
        <f t="shared" si="0"/>
        <v>C</v>
      </c>
    </row>
    <row r="57" spans="1:5" x14ac:dyDescent="0.25">
      <c r="A57">
        <v>56</v>
      </c>
      <c r="B57" t="s">
        <v>22</v>
      </c>
      <c r="C57" t="s">
        <v>11</v>
      </c>
      <c r="D57">
        <v>3</v>
      </c>
      <c r="E57" t="str">
        <f t="shared" si="0"/>
        <v>C</v>
      </c>
    </row>
    <row r="58" spans="1:5" x14ac:dyDescent="0.25">
      <c r="A58">
        <v>57</v>
      </c>
      <c r="B58" t="s">
        <v>24</v>
      </c>
      <c r="C58" t="s">
        <v>11</v>
      </c>
      <c r="D58">
        <v>3</v>
      </c>
      <c r="E58" t="str">
        <f t="shared" si="0"/>
        <v>C</v>
      </c>
    </row>
    <row r="59" spans="1:5" x14ac:dyDescent="0.25">
      <c r="A59">
        <v>58</v>
      </c>
      <c r="B59" t="s">
        <v>26</v>
      </c>
      <c r="C59" t="s">
        <v>11</v>
      </c>
      <c r="D59">
        <v>3</v>
      </c>
      <c r="E59" t="str">
        <f t="shared" si="0"/>
        <v>C</v>
      </c>
    </row>
    <row r="60" spans="1:5" x14ac:dyDescent="0.25">
      <c r="A60">
        <v>59</v>
      </c>
      <c r="B60" t="s">
        <v>28</v>
      </c>
      <c r="C60" t="s">
        <v>11</v>
      </c>
      <c r="D60">
        <v>3</v>
      </c>
      <c r="E60" t="str">
        <f t="shared" si="0"/>
        <v>C</v>
      </c>
    </row>
    <row r="61" spans="1:5" x14ac:dyDescent="0.25">
      <c r="A61">
        <v>60</v>
      </c>
      <c r="B61" t="s">
        <v>30</v>
      </c>
      <c r="C61" t="s">
        <v>11</v>
      </c>
      <c r="D61">
        <v>3</v>
      </c>
      <c r="E61" t="str">
        <f t="shared" si="0"/>
        <v>C</v>
      </c>
    </row>
    <row r="62" spans="1:5" x14ac:dyDescent="0.25">
      <c r="A62">
        <v>61</v>
      </c>
      <c r="B62" t="s">
        <v>7</v>
      </c>
      <c r="C62" t="s">
        <v>14</v>
      </c>
      <c r="D62">
        <v>4</v>
      </c>
      <c r="E62" t="str">
        <f t="shared" si="0"/>
        <v>D</v>
      </c>
    </row>
    <row r="63" spans="1:5" x14ac:dyDescent="0.25">
      <c r="A63">
        <v>62</v>
      </c>
      <c r="B63" t="s">
        <v>10</v>
      </c>
      <c r="C63" t="s">
        <v>14</v>
      </c>
      <c r="D63">
        <v>4</v>
      </c>
      <c r="E63" t="str">
        <f t="shared" si="0"/>
        <v>D</v>
      </c>
    </row>
    <row r="64" spans="1:5" x14ac:dyDescent="0.25">
      <c r="A64">
        <v>63</v>
      </c>
      <c r="B64" t="s">
        <v>13</v>
      </c>
      <c r="C64" t="s">
        <v>14</v>
      </c>
      <c r="D64">
        <v>4</v>
      </c>
      <c r="E64" t="str">
        <f t="shared" si="0"/>
        <v>D</v>
      </c>
    </row>
    <row r="65" spans="1:5" x14ac:dyDescent="0.25">
      <c r="A65">
        <v>64</v>
      </c>
      <c r="B65" t="s">
        <v>16</v>
      </c>
      <c r="C65" t="s">
        <v>14</v>
      </c>
      <c r="D65">
        <v>4</v>
      </c>
      <c r="E65" t="str">
        <f t="shared" si="0"/>
        <v>D</v>
      </c>
    </row>
    <row r="66" spans="1:5" x14ac:dyDescent="0.25">
      <c r="A66">
        <v>65</v>
      </c>
      <c r="B66" t="s">
        <v>19</v>
      </c>
      <c r="C66" t="s">
        <v>14</v>
      </c>
      <c r="D66">
        <v>4</v>
      </c>
      <c r="E66" t="str">
        <f t="shared" si="0"/>
        <v>D</v>
      </c>
    </row>
    <row r="67" spans="1:5" x14ac:dyDescent="0.25">
      <c r="A67">
        <v>66</v>
      </c>
      <c r="B67" t="s">
        <v>22</v>
      </c>
      <c r="C67" t="s">
        <v>14</v>
      </c>
      <c r="D67">
        <v>4</v>
      </c>
      <c r="E67" t="str">
        <f t="shared" ref="E67:E101" si="1">CHAR(64+INT((A67-1)/20)+1)</f>
        <v>D</v>
      </c>
    </row>
    <row r="68" spans="1:5" x14ac:dyDescent="0.25">
      <c r="A68">
        <v>67</v>
      </c>
      <c r="B68" t="s">
        <v>24</v>
      </c>
      <c r="C68" t="s">
        <v>14</v>
      </c>
      <c r="D68">
        <v>4</v>
      </c>
      <c r="E68" t="str">
        <f t="shared" si="1"/>
        <v>D</v>
      </c>
    </row>
    <row r="69" spans="1:5" x14ac:dyDescent="0.25">
      <c r="A69">
        <v>68</v>
      </c>
      <c r="B69" t="s">
        <v>26</v>
      </c>
      <c r="C69" t="s">
        <v>14</v>
      </c>
      <c r="D69">
        <v>4</v>
      </c>
      <c r="E69" t="str">
        <f t="shared" si="1"/>
        <v>D</v>
      </c>
    </row>
    <row r="70" spans="1:5" x14ac:dyDescent="0.25">
      <c r="A70">
        <v>69</v>
      </c>
      <c r="B70" t="s">
        <v>28</v>
      </c>
      <c r="C70" t="s">
        <v>14</v>
      </c>
      <c r="D70">
        <v>4</v>
      </c>
      <c r="E70" t="str">
        <f t="shared" si="1"/>
        <v>D</v>
      </c>
    </row>
    <row r="71" spans="1:5" x14ac:dyDescent="0.25">
      <c r="A71">
        <v>70</v>
      </c>
      <c r="B71" t="s">
        <v>30</v>
      </c>
      <c r="C71" t="s">
        <v>14</v>
      </c>
      <c r="D71">
        <v>4</v>
      </c>
      <c r="E71" t="str">
        <f t="shared" si="1"/>
        <v>D</v>
      </c>
    </row>
    <row r="72" spans="1:5" x14ac:dyDescent="0.25">
      <c r="A72">
        <v>71</v>
      </c>
      <c r="B72" t="s">
        <v>7</v>
      </c>
      <c r="C72" t="s">
        <v>14</v>
      </c>
      <c r="D72">
        <v>4</v>
      </c>
      <c r="E72" t="str">
        <f t="shared" si="1"/>
        <v>D</v>
      </c>
    </row>
    <row r="73" spans="1:5" x14ac:dyDescent="0.25">
      <c r="A73">
        <v>72</v>
      </c>
      <c r="B73" t="s">
        <v>10</v>
      </c>
      <c r="C73" t="s">
        <v>14</v>
      </c>
      <c r="D73">
        <v>4</v>
      </c>
      <c r="E73" t="str">
        <f t="shared" si="1"/>
        <v>D</v>
      </c>
    </row>
    <row r="74" spans="1:5" x14ac:dyDescent="0.25">
      <c r="A74">
        <v>73</v>
      </c>
      <c r="B74" t="s">
        <v>13</v>
      </c>
      <c r="C74" t="s">
        <v>14</v>
      </c>
      <c r="D74">
        <v>4</v>
      </c>
      <c r="E74" t="str">
        <f t="shared" si="1"/>
        <v>D</v>
      </c>
    </row>
    <row r="75" spans="1:5" x14ac:dyDescent="0.25">
      <c r="A75">
        <v>74</v>
      </c>
      <c r="B75" t="s">
        <v>16</v>
      </c>
      <c r="C75" t="s">
        <v>14</v>
      </c>
      <c r="D75">
        <v>4</v>
      </c>
      <c r="E75" t="str">
        <f t="shared" si="1"/>
        <v>D</v>
      </c>
    </row>
    <row r="76" spans="1:5" x14ac:dyDescent="0.25">
      <c r="A76">
        <v>75</v>
      </c>
      <c r="B76" t="s">
        <v>19</v>
      </c>
      <c r="C76" t="s">
        <v>14</v>
      </c>
      <c r="D76">
        <v>4</v>
      </c>
      <c r="E76" t="str">
        <f t="shared" si="1"/>
        <v>D</v>
      </c>
    </row>
    <row r="77" spans="1:5" x14ac:dyDescent="0.25">
      <c r="A77">
        <v>76</v>
      </c>
      <c r="B77" t="s">
        <v>22</v>
      </c>
      <c r="C77" t="s">
        <v>14</v>
      </c>
      <c r="D77">
        <v>4</v>
      </c>
      <c r="E77" t="str">
        <f t="shared" si="1"/>
        <v>D</v>
      </c>
    </row>
    <row r="78" spans="1:5" x14ac:dyDescent="0.25">
      <c r="A78">
        <v>77</v>
      </c>
      <c r="B78" t="s">
        <v>24</v>
      </c>
      <c r="C78" t="s">
        <v>14</v>
      </c>
      <c r="D78">
        <v>4</v>
      </c>
      <c r="E78" t="str">
        <f t="shared" si="1"/>
        <v>D</v>
      </c>
    </row>
    <row r="79" spans="1:5" x14ac:dyDescent="0.25">
      <c r="A79">
        <v>78</v>
      </c>
      <c r="B79" t="s">
        <v>26</v>
      </c>
      <c r="C79" t="s">
        <v>14</v>
      </c>
      <c r="D79">
        <v>4</v>
      </c>
      <c r="E79" t="str">
        <f t="shared" si="1"/>
        <v>D</v>
      </c>
    </row>
    <row r="80" spans="1:5" x14ac:dyDescent="0.25">
      <c r="A80">
        <v>79</v>
      </c>
      <c r="B80" t="s">
        <v>28</v>
      </c>
      <c r="C80" t="s">
        <v>14</v>
      </c>
      <c r="D80">
        <v>4</v>
      </c>
      <c r="E80" t="str">
        <f t="shared" si="1"/>
        <v>D</v>
      </c>
    </row>
    <row r="81" spans="1:5" x14ac:dyDescent="0.25">
      <c r="A81">
        <v>80</v>
      </c>
      <c r="B81" t="s">
        <v>30</v>
      </c>
      <c r="C81" t="s">
        <v>14</v>
      </c>
      <c r="D81">
        <v>4</v>
      </c>
      <c r="E81" t="str">
        <f t="shared" si="1"/>
        <v>D</v>
      </c>
    </row>
    <row r="82" spans="1:5" x14ac:dyDescent="0.25">
      <c r="A82">
        <v>81</v>
      </c>
      <c r="B82" t="s">
        <v>7</v>
      </c>
      <c r="C82" t="s">
        <v>20</v>
      </c>
      <c r="D82">
        <v>5</v>
      </c>
      <c r="E82" t="str">
        <f t="shared" si="1"/>
        <v>E</v>
      </c>
    </row>
    <row r="83" spans="1:5" x14ac:dyDescent="0.25">
      <c r="A83">
        <v>82</v>
      </c>
      <c r="B83" t="s">
        <v>10</v>
      </c>
      <c r="C83" t="s">
        <v>20</v>
      </c>
      <c r="D83">
        <v>5</v>
      </c>
      <c r="E83" t="str">
        <f t="shared" si="1"/>
        <v>E</v>
      </c>
    </row>
    <row r="84" spans="1:5" x14ac:dyDescent="0.25">
      <c r="A84">
        <v>83</v>
      </c>
      <c r="B84" t="s">
        <v>13</v>
      </c>
      <c r="C84" t="s">
        <v>20</v>
      </c>
      <c r="D84">
        <v>5</v>
      </c>
      <c r="E84" t="str">
        <f t="shared" si="1"/>
        <v>E</v>
      </c>
    </row>
    <row r="85" spans="1:5" x14ac:dyDescent="0.25">
      <c r="A85">
        <v>84</v>
      </c>
      <c r="B85" t="s">
        <v>16</v>
      </c>
      <c r="C85" t="s">
        <v>20</v>
      </c>
      <c r="D85">
        <v>5</v>
      </c>
      <c r="E85" t="str">
        <f t="shared" si="1"/>
        <v>E</v>
      </c>
    </row>
    <row r="86" spans="1:5" x14ac:dyDescent="0.25">
      <c r="A86">
        <v>85</v>
      </c>
      <c r="B86" t="s">
        <v>19</v>
      </c>
      <c r="C86" t="s">
        <v>20</v>
      </c>
      <c r="D86">
        <v>5</v>
      </c>
      <c r="E86" t="str">
        <f t="shared" si="1"/>
        <v>E</v>
      </c>
    </row>
    <row r="87" spans="1:5" x14ac:dyDescent="0.25">
      <c r="A87">
        <v>86</v>
      </c>
      <c r="B87" t="s">
        <v>22</v>
      </c>
      <c r="C87" t="s">
        <v>20</v>
      </c>
      <c r="D87">
        <v>5</v>
      </c>
      <c r="E87" t="str">
        <f t="shared" si="1"/>
        <v>E</v>
      </c>
    </row>
    <row r="88" spans="1:5" x14ac:dyDescent="0.25">
      <c r="A88">
        <v>87</v>
      </c>
      <c r="B88" t="s">
        <v>24</v>
      </c>
      <c r="C88" t="s">
        <v>20</v>
      </c>
      <c r="D88">
        <v>5</v>
      </c>
      <c r="E88" t="str">
        <f t="shared" si="1"/>
        <v>E</v>
      </c>
    </row>
    <row r="89" spans="1:5" x14ac:dyDescent="0.25">
      <c r="A89">
        <v>88</v>
      </c>
      <c r="B89" t="s">
        <v>26</v>
      </c>
      <c r="C89" t="s">
        <v>20</v>
      </c>
      <c r="D89">
        <v>5</v>
      </c>
      <c r="E89" t="str">
        <f t="shared" si="1"/>
        <v>E</v>
      </c>
    </row>
    <row r="90" spans="1:5" x14ac:dyDescent="0.25">
      <c r="A90">
        <v>89</v>
      </c>
      <c r="B90" t="s">
        <v>28</v>
      </c>
      <c r="C90" t="s">
        <v>20</v>
      </c>
      <c r="D90">
        <v>5</v>
      </c>
      <c r="E90" t="str">
        <f t="shared" si="1"/>
        <v>E</v>
      </c>
    </row>
    <row r="91" spans="1:5" x14ac:dyDescent="0.25">
      <c r="A91">
        <v>90</v>
      </c>
      <c r="B91" t="s">
        <v>30</v>
      </c>
      <c r="C91" t="s">
        <v>20</v>
      </c>
      <c r="D91">
        <v>5</v>
      </c>
      <c r="E91" t="str">
        <f t="shared" si="1"/>
        <v>E</v>
      </c>
    </row>
    <row r="92" spans="1:5" x14ac:dyDescent="0.25">
      <c r="A92">
        <v>91</v>
      </c>
      <c r="B92" t="s">
        <v>7</v>
      </c>
      <c r="C92" t="s">
        <v>20</v>
      </c>
      <c r="D92">
        <v>5</v>
      </c>
      <c r="E92" t="str">
        <f t="shared" si="1"/>
        <v>E</v>
      </c>
    </row>
    <row r="93" spans="1:5" x14ac:dyDescent="0.25">
      <c r="A93">
        <v>92</v>
      </c>
      <c r="B93" t="s">
        <v>10</v>
      </c>
      <c r="C93" t="s">
        <v>20</v>
      </c>
      <c r="D93">
        <v>5</v>
      </c>
      <c r="E93" t="str">
        <f t="shared" si="1"/>
        <v>E</v>
      </c>
    </row>
    <row r="94" spans="1:5" x14ac:dyDescent="0.25">
      <c r="A94">
        <v>93</v>
      </c>
      <c r="B94" t="s">
        <v>13</v>
      </c>
      <c r="C94" t="s">
        <v>20</v>
      </c>
      <c r="D94">
        <v>5</v>
      </c>
      <c r="E94" t="str">
        <f t="shared" si="1"/>
        <v>E</v>
      </c>
    </row>
    <row r="95" spans="1:5" x14ac:dyDescent="0.25">
      <c r="A95">
        <v>94</v>
      </c>
      <c r="B95" t="s">
        <v>16</v>
      </c>
      <c r="C95" t="s">
        <v>20</v>
      </c>
      <c r="D95">
        <v>5</v>
      </c>
      <c r="E95" t="str">
        <f t="shared" si="1"/>
        <v>E</v>
      </c>
    </row>
    <row r="96" spans="1:5" x14ac:dyDescent="0.25">
      <c r="A96">
        <v>95</v>
      </c>
      <c r="B96" t="s">
        <v>19</v>
      </c>
      <c r="C96" t="s">
        <v>20</v>
      </c>
      <c r="D96">
        <v>5</v>
      </c>
      <c r="E96" t="str">
        <f t="shared" si="1"/>
        <v>E</v>
      </c>
    </row>
    <row r="97" spans="1:5" x14ac:dyDescent="0.25">
      <c r="A97">
        <v>96</v>
      </c>
      <c r="B97" t="s">
        <v>22</v>
      </c>
      <c r="C97" t="s">
        <v>20</v>
      </c>
      <c r="D97">
        <v>5</v>
      </c>
      <c r="E97" t="str">
        <f t="shared" si="1"/>
        <v>E</v>
      </c>
    </row>
    <row r="98" spans="1:5" x14ac:dyDescent="0.25">
      <c r="A98">
        <v>97</v>
      </c>
      <c r="B98" t="s">
        <v>24</v>
      </c>
      <c r="C98" t="s">
        <v>20</v>
      </c>
      <c r="D98">
        <v>5</v>
      </c>
      <c r="E98" t="str">
        <f t="shared" si="1"/>
        <v>E</v>
      </c>
    </row>
    <row r="99" spans="1:5" x14ac:dyDescent="0.25">
      <c r="A99">
        <v>98</v>
      </c>
      <c r="B99" t="s">
        <v>26</v>
      </c>
      <c r="C99" t="s">
        <v>20</v>
      </c>
      <c r="D99">
        <v>5</v>
      </c>
      <c r="E99" t="str">
        <f t="shared" si="1"/>
        <v>E</v>
      </c>
    </row>
    <row r="100" spans="1:5" x14ac:dyDescent="0.25">
      <c r="A100">
        <v>99</v>
      </c>
      <c r="B100" t="s">
        <v>28</v>
      </c>
      <c r="C100" t="s">
        <v>20</v>
      </c>
      <c r="D100">
        <v>5</v>
      </c>
      <c r="E100" t="str">
        <f t="shared" si="1"/>
        <v>E</v>
      </c>
    </row>
    <row r="101" spans="1:5" x14ac:dyDescent="0.25">
      <c r="A101">
        <v>100</v>
      </c>
      <c r="B101" t="s">
        <v>30</v>
      </c>
      <c r="C101" t="s">
        <v>20</v>
      </c>
      <c r="D101">
        <v>5</v>
      </c>
      <c r="E101" t="str">
        <f t="shared" si="1"/>
        <v>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E22DB-91DB-4C5A-A5F5-BF619E8C8C80}">
  <dimension ref="A1:Y201"/>
  <sheetViews>
    <sheetView topLeftCell="L1" workbookViewId="0">
      <selection activeCell="Y20" sqref="Y20"/>
    </sheetView>
  </sheetViews>
  <sheetFormatPr defaultRowHeight="15" x14ac:dyDescent="0.25"/>
  <cols>
    <col min="3" max="3" width="20.28515625" customWidth="1"/>
    <col min="9" max="9" width="20.42578125" customWidth="1"/>
    <col min="17" max="17" width="27" customWidth="1"/>
    <col min="24" max="24" width="25.85546875" customWidth="1"/>
  </cols>
  <sheetData>
    <row r="1" spans="1:25" x14ac:dyDescent="0.25">
      <c r="A1" s="1" t="s">
        <v>224</v>
      </c>
      <c r="B1" s="1" t="s">
        <v>225</v>
      </c>
      <c r="F1" t="s">
        <v>232</v>
      </c>
      <c r="G1" t="s">
        <v>233</v>
      </c>
      <c r="M1" t="s">
        <v>236</v>
      </c>
      <c r="N1" t="s">
        <v>237</v>
      </c>
      <c r="O1" t="s">
        <v>238</v>
      </c>
      <c r="U1" s="1" t="s">
        <v>244</v>
      </c>
      <c r="V1" s="1" t="s">
        <v>245</v>
      </c>
    </row>
    <row r="2" spans="1:25" x14ac:dyDescent="0.25">
      <c r="A2">
        <v>1</v>
      </c>
      <c r="B2" t="s">
        <v>226</v>
      </c>
      <c r="F2" cm="1">
        <f t="array" ref="F2:F201">_xlfn.SEQUENCE(200)</f>
        <v>1</v>
      </c>
      <c r="G2" t="s">
        <v>234</v>
      </c>
      <c r="M2" cm="1">
        <f t="array" ref="M2:M101">_xlfn.SEQUENCE(100)</f>
        <v>1</v>
      </c>
      <c r="N2" t="s">
        <v>234</v>
      </c>
      <c r="O2" t="s">
        <v>234</v>
      </c>
      <c r="U2" cm="1">
        <f t="array" ref="U2:U101">_xlfn.SEQUENCE(100)</f>
        <v>1</v>
      </c>
      <c r="V2">
        <v>6</v>
      </c>
    </row>
    <row r="3" spans="1:25" x14ac:dyDescent="0.25">
      <c r="A3">
        <v>2</v>
      </c>
      <c r="B3" t="s">
        <v>226</v>
      </c>
      <c r="F3">
        <v>2</v>
      </c>
      <c r="G3" t="s">
        <v>234</v>
      </c>
      <c r="M3">
        <v>2</v>
      </c>
      <c r="N3" t="s">
        <v>235</v>
      </c>
      <c r="O3" t="s">
        <v>234</v>
      </c>
      <c r="Q3" s="1" t="s">
        <v>243</v>
      </c>
      <c r="R3">
        <f>COUNTIFS(N2:N101,"Head",O2:O101,"Head")</f>
        <v>26</v>
      </c>
      <c r="U3">
        <v>2</v>
      </c>
      <c r="V3">
        <v>3</v>
      </c>
      <c r="X3" s="1" t="s">
        <v>246</v>
      </c>
      <c r="Y3">
        <f>COUNTIF(V2:V101,6)</f>
        <v>20</v>
      </c>
    </row>
    <row r="4" spans="1:25" x14ac:dyDescent="0.25">
      <c r="A4">
        <v>3</v>
      </c>
      <c r="B4" t="s">
        <v>226</v>
      </c>
      <c r="F4">
        <v>3</v>
      </c>
      <c r="G4" t="s">
        <v>234</v>
      </c>
      <c r="M4">
        <v>3</v>
      </c>
      <c r="N4" t="s">
        <v>234</v>
      </c>
      <c r="O4" t="s">
        <v>234</v>
      </c>
      <c r="Q4" s="1" t="s">
        <v>239</v>
      </c>
      <c r="R4">
        <f>COUNTIFS(N2:N101,"Head",O2:O101,"Tail")</f>
        <v>24</v>
      </c>
      <c r="U4">
        <v>3</v>
      </c>
      <c r="V4">
        <v>3</v>
      </c>
      <c r="X4" s="1" t="s">
        <v>252</v>
      </c>
      <c r="Y4">
        <f>COUNTIF(V2:V101,6)/100</f>
        <v>0.2</v>
      </c>
    </row>
    <row r="5" spans="1:25" x14ac:dyDescent="0.25">
      <c r="A5">
        <v>4</v>
      </c>
      <c r="B5" t="s">
        <v>227</v>
      </c>
      <c r="F5">
        <v>4</v>
      </c>
      <c r="G5" t="s">
        <v>234</v>
      </c>
      <c r="M5">
        <v>4</v>
      </c>
      <c r="N5" t="s">
        <v>234</v>
      </c>
      <c r="O5" t="s">
        <v>234</v>
      </c>
      <c r="Q5" s="1" t="s">
        <v>240</v>
      </c>
      <c r="R5">
        <f>COUNTIFS(N2:N101,"Tail",O2:O101,"Head")</f>
        <v>32</v>
      </c>
      <c r="U5">
        <v>4</v>
      </c>
      <c r="V5">
        <v>2</v>
      </c>
    </row>
    <row r="6" spans="1:25" x14ac:dyDescent="0.25">
      <c r="A6">
        <v>5</v>
      </c>
      <c r="B6" t="s">
        <v>227</v>
      </c>
      <c r="F6">
        <v>5</v>
      </c>
      <c r="G6" t="s">
        <v>234</v>
      </c>
      <c r="M6">
        <v>5</v>
      </c>
      <c r="N6" t="s">
        <v>235</v>
      </c>
      <c r="O6" t="s">
        <v>234</v>
      </c>
      <c r="Q6" s="1" t="s">
        <v>241</v>
      </c>
      <c r="R6">
        <f>COUNTIFS(N2:N101,"Tail",O2:O101,"Tail")</f>
        <v>18</v>
      </c>
      <c r="U6">
        <v>5</v>
      </c>
      <c r="V6">
        <v>6</v>
      </c>
      <c r="X6" s="1" t="s">
        <v>251</v>
      </c>
      <c r="Y6">
        <f>COUNTIF(V2:V101,5)</f>
        <v>21</v>
      </c>
    </row>
    <row r="7" spans="1:25" x14ac:dyDescent="0.25">
      <c r="A7">
        <v>6</v>
      </c>
      <c r="B7" t="s">
        <v>227</v>
      </c>
      <c r="C7" s="1" t="s">
        <v>228</v>
      </c>
      <c r="D7">
        <f>COUNTIF(B2:B101,"HEAD")</f>
        <v>58</v>
      </c>
      <c r="F7">
        <v>6</v>
      </c>
      <c r="G7" t="s">
        <v>234</v>
      </c>
      <c r="I7" s="1" t="s">
        <v>228</v>
      </c>
      <c r="J7">
        <f>COUNTIF(G2:G201,"Head")</f>
        <v>98</v>
      </c>
      <c r="M7">
        <v>6</v>
      </c>
      <c r="N7" t="s">
        <v>235</v>
      </c>
      <c r="O7" t="s">
        <v>235</v>
      </c>
      <c r="U7">
        <v>6</v>
      </c>
      <c r="V7">
        <v>4</v>
      </c>
      <c r="X7" s="1" t="s">
        <v>253</v>
      </c>
      <c r="Y7">
        <f>COUNTIF(V2:V101,5)/100</f>
        <v>0.21</v>
      </c>
    </row>
    <row r="8" spans="1:25" x14ac:dyDescent="0.25">
      <c r="A8">
        <v>7</v>
      </c>
      <c r="B8" t="s">
        <v>227</v>
      </c>
      <c r="C8" s="1" t="s">
        <v>229</v>
      </c>
      <c r="D8">
        <f>COUNTIF(B2:B101,"TAIL")</f>
        <v>42</v>
      </c>
      <c r="F8">
        <v>7</v>
      </c>
      <c r="G8" t="s">
        <v>235</v>
      </c>
      <c r="I8" s="1" t="s">
        <v>229</v>
      </c>
      <c r="J8">
        <f>COUNTIF(G2:G201,"Tail")</f>
        <v>102</v>
      </c>
      <c r="M8">
        <v>7</v>
      </c>
      <c r="N8" t="s">
        <v>235</v>
      </c>
      <c r="O8" t="s">
        <v>235</v>
      </c>
      <c r="U8">
        <v>7</v>
      </c>
      <c r="V8">
        <v>6</v>
      </c>
    </row>
    <row r="9" spans="1:25" x14ac:dyDescent="0.25">
      <c r="A9">
        <v>8</v>
      </c>
      <c r="B9" t="s">
        <v>226</v>
      </c>
      <c r="C9" s="1" t="s">
        <v>230</v>
      </c>
      <c r="D9">
        <f>COUNTIF(B2:B101,"HEAD")/100</f>
        <v>0.57999999999999996</v>
      </c>
      <c r="F9">
        <v>8</v>
      </c>
      <c r="G9" t="s">
        <v>235</v>
      </c>
      <c r="I9" s="1" t="s">
        <v>230</v>
      </c>
      <c r="J9">
        <f>COUNTIF(G2:G201,"Head")/200</f>
        <v>0.49</v>
      </c>
      <c r="M9">
        <v>8</v>
      </c>
      <c r="N9" t="s">
        <v>234</v>
      </c>
      <c r="O9" t="s">
        <v>235</v>
      </c>
      <c r="U9">
        <v>8</v>
      </c>
      <c r="V9">
        <v>3</v>
      </c>
      <c r="X9" s="1" t="s">
        <v>250</v>
      </c>
      <c r="Y9">
        <f>COUNTIF(V2:V101,4)</f>
        <v>15</v>
      </c>
    </row>
    <row r="10" spans="1:25" x14ac:dyDescent="0.25">
      <c r="A10">
        <v>9</v>
      </c>
      <c r="B10" t="s">
        <v>226</v>
      </c>
      <c r="C10" s="1" t="s">
        <v>231</v>
      </c>
      <c r="D10">
        <f>COUNTIF(B2:B101,"TAIL")/100</f>
        <v>0.42</v>
      </c>
      <c r="F10">
        <v>9</v>
      </c>
      <c r="G10" t="s">
        <v>234</v>
      </c>
      <c r="I10" s="1" t="s">
        <v>231</v>
      </c>
      <c r="J10">
        <f>COUNTIF(G2:G201,"Tail")/200</f>
        <v>0.51</v>
      </c>
      <c r="M10">
        <v>9</v>
      </c>
      <c r="N10" t="s">
        <v>235</v>
      </c>
      <c r="O10" t="s">
        <v>234</v>
      </c>
      <c r="Q10" s="1" t="s">
        <v>242</v>
      </c>
      <c r="U10">
        <v>9</v>
      </c>
      <c r="V10">
        <v>5</v>
      </c>
      <c r="X10" s="1" t="s">
        <v>253</v>
      </c>
      <c r="Y10">
        <f>COUNTIF(V2:V101,4)/100</f>
        <v>0.15</v>
      </c>
    </row>
    <row r="11" spans="1:25" x14ac:dyDescent="0.25">
      <c r="A11">
        <v>10</v>
      </c>
      <c r="B11" t="s">
        <v>227</v>
      </c>
      <c r="F11">
        <v>10</v>
      </c>
      <c r="G11" t="s">
        <v>234</v>
      </c>
      <c r="M11">
        <v>10</v>
      </c>
      <c r="N11" t="s">
        <v>234</v>
      </c>
      <c r="O11" t="s">
        <v>234</v>
      </c>
      <c r="U11">
        <v>10</v>
      </c>
      <c r="V11">
        <v>6</v>
      </c>
    </row>
    <row r="12" spans="1:25" x14ac:dyDescent="0.25">
      <c r="A12">
        <v>11</v>
      </c>
      <c r="B12" t="s">
        <v>226</v>
      </c>
      <c r="F12">
        <v>11</v>
      </c>
      <c r="G12" t="s">
        <v>234</v>
      </c>
      <c r="M12">
        <v>11</v>
      </c>
      <c r="N12" t="s">
        <v>235</v>
      </c>
      <c r="O12" t="s">
        <v>234</v>
      </c>
      <c r="U12">
        <v>11</v>
      </c>
      <c r="V12">
        <v>4</v>
      </c>
      <c r="X12" s="1" t="s">
        <v>249</v>
      </c>
      <c r="Y12">
        <f>COUNTIF(V2:V101,3)</f>
        <v>24</v>
      </c>
    </row>
    <row r="13" spans="1:25" x14ac:dyDescent="0.25">
      <c r="A13">
        <v>12</v>
      </c>
      <c r="B13" t="s">
        <v>226</v>
      </c>
      <c r="F13">
        <v>12</v>
      </c>
      <c r="G13" t="s">
        <v>235</v>
      </c>
      <c r="M13">
        <v>12</v>
      </c>
      <c r="N13" t="s">
        <v>234</v>
      </c>
      <c r="O13" t="s">
        <v>235</v>
      </c>
      <c r="U13">
        <v>12</v>
      </c>
      <c r="V13">
        <v>3</v>
      </c>
      <c r="X13" s="1" t="s">
        <v>253</v>
      </c>
      <c r="Y13">
        <f>COUNTIF(V2:V101,3)/100</f>
        <v>0.24</v>
      </c>
    </row>
    <row r="14" spans="1:25" x14ac:dyDescent="0.25">
      <c r="A14">
        <v>13</v>
      </c>
      <c r="B14" t="s">
        <v>227</v>
      </c>
      <c r="F14">
        <v>13</v>
      </c>
      <c r="G14" t="s">
        <v>234</v>
      </c>
      <c r="M14">
        <v>13</v>
      </c>
      <c r="N14" t="s">
        <v>235</v>
      </c>
      <c r="O14" t="s">
        <v>235</v>
      </c>
      <c r="U14">
        <v>13</v>
      </c>
      <c r="V14">
        <v>2</v>
      </c>
    </row>
    <row r="15" spans="1:25" x14ac:dyDescent="0.25">
      <c r="A15">
        <v>14</v>
      </c>
      <c r="B15" t="s">
        <v>226</v>
      </c>
      <c r="F15">
        <v>14</v>
      </c>
      <c r="G15" t="s">
        <v>234</v>
      </c>
      <c r="M15">
        <v>14</v>
      </c>
      <c r="N15" t="s">
        <v>234</v>
      </c>
      <c r="O15" t="s">
        <v>234</v>
      </c>
      <c r="U15">
        <v>14</v>
      </c>
      <c r="V15">
        <v>4</v>
      </c>
      <c r="X15" s="1" t="s">
        <v>248</v>
      </c>
      <c r="Y15">
        <f>COUNTIF(V2:V101,2)</f>
        <v>11</v>
      </c>
    </row>
    <row r="16" spans="1:25" x14ac:dyDescent="0.25">
      <c r="A16">
        <v>15</v>
      </c>
      <c r="B16" t="s">
        <v>227</v>
      </c>
      <c r="F16">
        <v>15</v>
      </c>
      <c r="G16" t="s">
        <v>235</v>
      </c>
      <c r="M16">
        <v>15</v>
      </c>
      <c r="N16" t="s">
        <v>234</v>
      </c>
      <c r="O16" t="s">
        <v>234</v>
      </c>
      <c r="U16">
        <v>15</v>
      </c>
      <c r="V16">
        <v>1</v>
      </c>
      <c r="X16" s="1" t="s">
        <v>253</v>
      </c>
      <c r="Y16">
        <f>COUNTIF(V2:V101,2)/100</f>
        <v>0.11</v>
      </c>
    </row>
    <row r="17" spans="1:25" x14ac:dyDescent="0.25">
      <c r="A17">
        <v>16</v>
      </c>
      <c r="B17" t="s">
        <v>226</v>
      </c>
      <c r="F17">
        <v>16</v>
      </c>
      <c r="G17" t="s">
        <v>234</v>
      </c>
      <c r="M17">
        <v>16</v>
      </c>
      <c r="N17" t="s">
        <v>235</v>
      </c>
      <c r="O17" t="s">
        <v>234</v>
      </c>
      <c r="U17">
        <v>16</v>
      </c>
      <c r="V17">
        <v>4</v>
      </c>
    </row>
    <row r="18" spans="1:25" x14ac:dyDescent="0.25">
      <c r="A18">
        <v>17</v>
      </c>
      <c r="B18" t="s">
        <v>226</v>
      </c>
      <c r="F18">
        <v>17</v>
      </c>
      <c r="G18" t="s">
        <v>234</v>
      </c>
      <c r="M18">
        <v>17</v>
      </c>
      <c r="N18" t="s">
        <v>235</v>
      </c>
      <c r="O18" t="s">
        <v>235</v>
      </c>
      <c r="U18">
        <v>17</v>
      </c>
      <c r="V18">
        <v>4</v>
      </c>
      <c r="X18" s="1" t="s">
        <v>247</v>
      </c>
      <c r="Y18">
        <f>COUNTIF(V2:V101,1)</f>
        <v>9</v>
      </c>
    </row>
    <row r="19" spans="1:25" x14ac:dyDescent="0.25">
      <c r="A19">
        <v>18</v>
      </c>
      <c r="B19" t="s">
        <v>226</v>
      </c>
      <c r="F19">
        <v>18</v>
      </c>
      <c r="G19" t="s">
        <v>235</v>
      </c>
      <c r="M19">
        <v>18</v>
      </c>
      <c r="N19" t="s">
        <v>235</v>
      </c>
      <c r="O19" t="s">
        <v>235</v>
      </c>
      <c r="U19">
        <v>18</v>
      </c>
      <c r="V19">
        <v>6</v>
      </c>
      <c r="X19" s="1" t="s">
        <v>253</v>
      </c>
      <c r="Y19">
        <f>COUNTIF(V2:V101,1)/100</f>
        <v>0.09</v>
      </c>
    </row>
    <row r="20" spans="1:25" x14ac:dyDescent="0.25">
      <c r="A20">
        <v>19</v>
      </c>
      <c r="B20" t="s">
        <v>226</v>
      </c>
      <c r="F20">
        <v>19</v>
      </c>
      <c r="G20" t="s">
        <v>234</v>
      </c>
      <c r="M20">
        <v>19</v>
      </c>
      <c r="N20" t="s">
        <v>235</v>
      </c>
      <c r="O20" t="s">
        <v>234</v>
      </c>
      <c r="U20">
        <v>19</v>
      </c>
      <c r="V20">
        <v>5</v>
      </c>
    </row>
    <row r="21" spans="1:25" x14ac:dyDescent="0.25">
      <c r="A21">
        <v>20</v>
      </c>
      <c r="B21" t="s">
        <v>226</v>
      </c>
      <c r="F21">
        <v>20</v>
      </c>
      <c r="G21" t="s">
        <v>234</v>
      </c>
      <c r="M21">
        <v>20</v>
      </c>
      <c r="N21" t="s">
        <v>235</v>
      </c>
      <c r="O21" t="s">
        <v>235</v>
      </c>
      <c r="U21">
        <v>20</v>
      </c>
      <c r="V21">
        <v>4</v>
      </c>
    </row>
    <row r="22" spans="1:25" x14ac:dyDescent="0.25">
      <c r="A22">
        <v>21</v>
      </c>
      <c r="B22" t="s">
        <v>226</v>
      </c>
      <c r="F22">
        <v>21</v>
      </c>
      <c r="G22" t="s">
        <v>235</v>
      </c>
      <c r="M22">
        <v>21</v>
      </c>
      <c r="N22" t="s">
        <v>234</v>
      </c>
      <c r="O22" t="s">
        <v>234</v>
      </c>
      <c r="U22">
        <v>21</v>
      </c>
      <c r="V22">
        <v>5</v>
      </c>
    </row>
    <row r="23" spans="1:25" x14ac:dyDescent="0.25">
      <c r="A23">
        <v>22</v>
      </c>
      <c r="B23" t="s">
        <v>226</v>
      </c>
      <c r="F23">
        <v>22</v>
      </c>
      <c r="G23" t="s">
        <v>234</v>
      </c>
      <c r="M23">
        <v>22</v>
      </c>
      <c r="N23" t="s">
        <v>235</v>
      </c>
      <c r="O23" t="s">
        <v>235</v>
      </c>
      <c r="U23">
        <v>22</v>
      </c>
      <c r="V23">
        <v>2</v>
      </c>
    </row>
    <row r="24" spans="1:25" x14ac:dyDescent="0.25">
      <c r="A24">
        <v>23</v>
      </c>
      <c r="B24" t="s">
        <v>226</v>
      </c>
      <c r="F24">
        <v>23</v>
      </c>
      <c r="G24" t="s">
        <v>234</v>
      </c>
      <c r="M24">
        <v>23</v>
      </c>
      <c r="N24" t="s">
        <v>235</v>
      </c>
      <c r="O24" t="s">
        <v>235</v>
      </c>
      <c r="U24">
        <v>23</v>
      </c>
      <c r="V24">
        <v>3</v>
      </c>
    </row>
    <row r="25" spans="1:25" x14ac:dyDescent="0.25">
      <c r="A25">
        <v>24</v>
      </c>
      <c r="B25" t="s">
        <v>226</v>
      </c>
      <c r="F25">
        <v>24</v>
      </c>
      <c r="G25" t="s">
        <v>234</v>
      </c>
      <c r="M25">
        <v>24</v>
      </c>
      <c r="N25" t="s">
        <v>234</v>
      </c>
      <c r="O25" t="s">
        <v>234</v>
      </c>
      <c r="U25">
        <v>24</v>
      </c>
      <c r="V25">
        <v>6</v>
      </c>
    </row>
    <row r="26" spans="1:25" x14ac:dyDescent="0.25">
      <c r="A26">
        <v>25</v>
      </c>
      <c r="B26" t="s">
        <v>227</v>
      </c>
      <c r="F26">
        <v>25</v>
      </c>
      <c r="G26" t="s">
        <v>235</v>
      </c>
      <c r="M26">
        <v>25</v>
      </c>
      <c r="N26" t="s">
        <v>235</v>
      </c>
      <c r="O26" t="s">
        <v>235</v>
      </c>
      <c r="U26">
        <v>25</v>
      </c>
      <c r="V26">
        <v>3</v>
      </c>
    </row>
    <row r="27" spans="1:25" x14ac:dyDescent="0.25">
      <c r="A27">
        <v>26</v>
      </c>
      <c r="B27" t="s">
        <v>226</v>
      </c>
      <c r="F27">
        <v>26</v>
      </c>
      <c r="G27" t="s">
        <v>235</v>
      </c>
      <c r="M27">
        <v>26</v>
      </c>
      <c r="N27" t="s">
        <v>235</v>
      </c>
      <c r="O27" t="s">
        <v>235</v>
      </c>
      <c r="U27">
        <v>26</v>
      </c>
      <c r="V27">
        <v>6</v>
      </c>
    </row>
    <row r="28" spans="1:25" x14ac:dyDescent="0.25">
      <c r="A28">
        <v>27</v>
      </c>
      <c r="B28" t="s">
        <v>226</v>
      </c>
      <c r="F28">
        <v>27</v>
      </c>
      <c r="G28" t="s">
        <v>235</v>
      </c>
      <c r="M28">
        <v>27</v>
      </c>
      <c r="N28" t="s">
        <v>234</v>
      </c>
      <c r="O28" t="s">
        <v>234</v>
      </c>
      <c r="U28">
        <v>27</v>
      </c>
      <c r="V28">
        <v>6</v>
      </c>
    </row>
    <row r="29" spans="1:25" x14ac:dyDescent="0.25">
      <c r="A29">
        <v>28</v>
      </c>
      <c r="B29" t="s">
        <v>226</v>
      </c>
      <c r="F29">
        <v>28</v>
      </c>
      <c r="G29" t="s">
        <v>235</v>
      </c>
      <c r="M29">
        <v>28</v>
      </c>
      <c r="N29" t="s">
        <v>235</v>
      </c>
      <c r="O29" t="s">
        <v>235</v>
      </c>
      <c r="U29">
        <v>28</v>
      </c>
      <c r="V29">
        <v>2</v>
      </c>
    </row>
    <row r="30" spans="1:25" x14ac:dyDescent="0.25">
      <c r="A30">
        <v>29</v>
      </c>
      <c r="B30" t="s">
        <v>226</v>
      </c>
      <c r="F30">
        <v>29</v>
      </c>
      <c r="G30" t="s">
        <v>234</v>
      </c>
      <c r="M30">
        <v>29</v>
      </c>
      <c r="N30" t="s">
        <v>235</v>
      </c>
      <c r="O30" t="s">
        <v>234</v>
      </c>
      <c r="U30">
        <v>29</v>
      </c>
      <c r="V30">
        <v>3</v>
      </c>
    </row>
    <row r="31" spans="1:25" x14ac:dyDescent="0.25">
      <c r="A31">
        <v>30</v>
      </c>
      <c r="B31" t="s">
        <v>227</v>
      </c>
      <c r="F31">
        <v>30</v>
      </c>
      <c r="G31" t="s">
        <v>235</v>
      </c>
      <c r="M31">
        <v>30</v>
      </c>
      <c r="N31" t="s">
        <v>234</v>
      </c>
      <c r="O31" t="s">
        <v>235</v>
      </c>
      <c r="U31">
        <v>30</v>
      </c>
      <c r="V31">
        <v>5</v>
      </c>
    </row>
    <row r="32" spans="1:25" x14ac:dyDescent="0.25">
      <c r="A32">
        <v>31</v>
      </c>
      <c r="B32" t="s">
        <v>226</v>
      </c>
      <c r="F32">
        <v>31</v>
      </c>
      <c r="G32" t="s">
        <v>234</v>
      </c>
      <c r="M32">
        <v>31</v>
      </c>
      <c r="N32" t="s">
        <v>234</v>
      </c>
      <c r="O32" t="s">
        <v>234</v>
      </c>
      <c r="U32">
        <v>31</v>
      </c>
      <c r="V32">
        <v>3</v>
      </c>
    </row>
    <row r="33" spans="1:22" x14ac:dyDescent="0.25">
      <c r="A33">
        <v>32</v>
      </c>
      <c r="B33" t="s">
        <v>226</v>
      </c>
      <c r="F33">
        <v>32</v>
      </c>
      <c r="G33" t="s">
        <v>234</v>
      </c>
      <c r="M33">
        <v>32</v>
      </c>
      <c r="N33" t="s">
        <v>235</v>
      </c>
      <c r="O33" t="s">
        <v>234</v>
      </c>
      <c r="U33">
        <v>32</v>
      </c>
      <c r="V33">
        <v>3</v>
      </c>
    </row>
    <row r="34" spans="1:22" x14ac:dyDescent="0.25">
      <c r="A34">
        <v>33</v>
      </c>
      <c r="B34" t="s">
        <v>227</v>
      </c>
      <c r="F34">
        <v>33</v>
      </c>
      <c r="G34" t="s">
        <v>234</v>
      </c>
      <c r="M34">
        <v>33</v>
      </c>
      <c r="N34" t="s">
        <v>234</v>
      </c>
      <c r="O34" t="s">
        <v>235</v>
      </c>
      <c r="U34">
        <v>33</v>
      </c>
      <c r="V34">
        <v>5</v>
      </c>
    </row>
    <row r="35" spans="1:22" x14ac:dyDescent="0.25">
      <c r="A35">
        <v>34</v>
      </c>
      <c r="B35" t="s">
        <v>226</v>
      </c>
      <c r="F35">
        <v>34</v>
      </c>
      <c r="G35" t="s">
        <v>235</v>
      </c>
      <c r="M35">
        <v>34</v>
      </c>
      <c r="N35" t="s">
        <v>235</v>
      </c>
      <c r="O35" t="s">
        <v>234</v>
      </c>
      <c r="U35">
        <v>34</v>
      </c>
      <c r="V35">
        <v>4</v>
      </c>
    </row>
    <row r="36" spans="1:22" x14ac:dyDescent="0.25">
      <c r="A36">
        <v>35</v>
      </c>
      <c r="B36" t="s">
        <v>227</v>
      </c>
      <c r="F36">
        <v>35</v>
      </c>
      <c r="G36" t="s">
        <v>235</v>
      </c>
      <c r="M36">
        <v>35</v>
      </c>
      <c r="N36" t="s">
        <v>235</v>
      </c>
      <c r="O36" t="s">
        <v>235</v>
      </c>
      <c r="U36">
        <v>35</v>
      </c>
      <c r="V36">
        <v>3</v>
      </c>
    </row>
    <row r="37" spans="1:22" x14ac:dyDescent="0.25">
      <c r="A37">
        <v>36</v>
      </c>
      <c r="B37" t="s">
        <v>226</v>
      </c>
      <c r="F37">
        <v>36</v>
      </c>
      <c r="G37" t="s">
        <v>234</v>
      </c>
      <c r="M37">
        <v>36</v>
      </c>
      <c r="N37" t="s">
        <v>235</v>
      </c>
      <c r="O37" t="s">
        <v>234</v>
      </c>
      <c r="U37">
        <v>36</v>
      </c>
      <c r="V37">
        <v>1</v>
      </c>
    </row>
    <row r="38" spans="1:22" x14ac:dyDescent="0.25">
      <c r="A38">
        <v>37</v>
      </c>
      <c r="B38" t="s">
        <v>227</v>
      </c>
      <c r="F38">
        <v>37</v>
      </c>
      <c r="G38" t="s">
        <v>235</v>
      </c>
      <c r="M38">
        <v>37</v>
      </c>
      <c r="N38" t="s">
        <v>235</v>
      </c>
      <c r="O38" t="s">
        <v>234</v>
      </c>
      <c r="U38">
        <v>37</v>
      </c>
      <c r="V38">
        <v>6</v>
      </c>
    </row>
    <row r="39" spans="1:22" x14ac:dyDescent="0.25">
      <c r="A39">
        <v>38</v>
      </c>
      <c r="B39" t="s">
        <v>227</v>
      </c>
      <c r="F39">
        <v>38</v>
      </c>
      <c r="G39" t="s">
        <v>235</v>
      </c>
      <c r="M39">
        <v>38</v>
      </c>
      <c r="N39" t="s">
        <v>234</v>
      </c>
      <c r="O39" t="s">
        <v>234</v>
      </c>
      <c r="U39">
        <v>38</v>
      </c>
      <c r="V39">
        <v>1</v>
      </c>
    </row>
    <row r="40" spans="1:22" x14ac:dyDescent="0.25">
      <c r="A40">
        <v>39</v>
      </c>
      <c r="B40" t="s">
        <v>226</v>
      </c>
      <c r="F40">
        <v>39</v>
      </c>
      <c r="G40" t="s">
        <v>235</v>
      </c>
      <c r="M40">
        <v>39</v>
      </c>
      <c r="N40" t="s">
        <v>234</v>
      </c>
      <c r="O40" t="s">
        <v>235</v>
      </c>
      <c r="U40">
        <v>39</v>
      </c>
      <c r="V40">
        <v>4</v>
      </c>
    </row>
    <row r="41" spans="1:22" x14ac:dyDescent="0.25">
      <c r="A41">
        <v>40</v>
      </c>
      <c r="B41" t="s">
        <v>226</v>
      </c>
      <c r="F41">
        <v>40</v>
      </c>
      <c r="G41" t="s">
        <v>235</v>
      </c>
      <c r="M41">
        <v>40</v>
      </c>
      <c r="N41" t="s">
        <v>235</v>
      </c>
      <c r="O41" t="s">
        <v>234</v>
      </c>
      <c r="U41">
        <v>40</v>
      </c>
      <c r="V41">
        <v>4</v>
      </c>
    </row>
    <row r="42" spans="1:22" x14ac:dyDescent="0.25">
      <c r="A42">
        <v>41</v>
      </c>
      <c r="B42" t="s">
        <v>226</v>
      </c>
      <c r="F42">
        <v>41</v>
      </c>
      <c r="G42" t="s">
        <v>235</v>
      </c>
      <c r="M42">
        <v>41</v>
      </c>
      <c r="N42" t="s">
        <v>234</v>
      </c>
      <c r="O42" t="s">
        <v>234</v>
      </c>
      <c r="U42">
        <v>41</v>
      </c>
      <c r="V42">
        <v>3</v>
      </c>
    </row>
    <row r="43" spans="1:22" x14ac:dyDescent="0.25">
      <c r="A43">
        <v>42</v>
      </c>
      <c r="B43" t="s">
        <v>227</v>
      </c>
      <c r="F43">
        <v>42</v>
      </c>
      <c r="G43" t="s">
        <v>235</v>
      </c>
      <c r="M43">
        <v>42</v>
      </c>
      <c r="N43" t="s">
        <v>234</v>
      </c>
      <c r="O43" t="s">
        <v>234</v>
      </c>
      <c r="U43">
        <v>42</v>
      </c>
      <c r="V43">
        <v>6</v>
      </c>
    </row>
    <row r="44" spans="1:22" x14ac:dyDescent="0.25">
      <c r="A44">
        <v>43</v>
      </c>
      <c r="B44" t="s">
        <v>227</v>
      </c>
      <c r="F44">
        <v>43</v>
      </c>
      <c r="G44" t="s">
        <v>234</v>
      </c>
      <c r="M44">
        <v>43</v>
      </c>
      <c r="N44" t="s">
        <v>234</v>
      </c>
      <c r="O44" t="s">
        <v>234</v>
      </c>
      <c r="U44">
        <v>43</v>
      </c>
      <c r="V44">
        <v>6</v>
      </c>
    </row>
    <row r="45" spans="1:22" x14ac:dyDescent="0.25">
      <c r="A45">
        <v>44</v>
      </c>
      <c r="B45" t="s">
        <v>227</v>
      </c>
      <c r="F45">
        <v>44</v>
      </c>
      <c r="G45" t="s">
        <v>234</v>
      </c>
      <c r="M45">
        <v>44</v>
      </c>
      <c r="N45" t="s">
        <v>235</v>
      </c>
      <c r="O45" t="s">
        <v>235</v>
      </c>
      <c r="U45">
        <v>44</v>
      </c>
      <c r="V45">
        <v>2</v>
      </c>
    </row>
    <row r="46" spans="1:22" x14ac:dyDescent="0.25">
      <c r="A46">
        <v>45</v>
      </c>
      <c r="B46" t="s">
        <v>227</v>
      </c>
      <c r="F46">
        <v>45</v>
      </c>
      <c r="G46" t="s">
        <v>235</v>
      </c>
      <c r="M46">
        <v>45</v>
      </c>
      <c r="N46" t="s">
        <v>235</v>
      </c>
      <c r="O46" t="s">
        <v>234</v>
      </c>
      <c r="U46">
        <v>45</v>
      </c>
      <c r="V46">
        <v>5</v>
      </c>
    </row>
    <row r="47" spans="1:22" x14ac:dyDescent="0.25">
      <c r="A47">
        <v>46</v>
      </c>
      <c r="B47" t="s">
        <v>226</v>
      </c>
      <c r="F47">
        <v>46</v>
      </c>
      <c r="G47" t="s">
        <v>235</v>
      </c>
      <c r="M47">
        <v>46</v>
      </c>
      <c r="N47" t="s">
        <v>235</v>
      </c>
      <c r="O47" t="s">
        <v>234</v>
      </c>
      <c r="U47">
        <v>46</v>
      </c>
      <c r="V47">
        <v>6</v>
      </c>
    </row>
    <row r="48" spans="1:22" x14ac:dyDescent="0.25">
      <c r="A48">
        <v>47</v>
      </c>
      <c r="B48" t="s">
        <v>227</v>
      </c>
      <c r="F48">
        <v>47</v>
      </c>
      <c r="G48" t="s">
        <v>235</v>
      </c>
      <c r="M48">
        <v>47</v>
      </c>
      <c r="N48" t="s">
        <v>234</v>
      </c>
      <c r="O48" t="s">
        <v>235</v>
      </c>
      <c r="U48">
        <v>47</v>
      </c>
      <c r="V48">
        <v>2</v>
      </c>
    </row>
    <row r="49" spans="1:22" x14ac:dyDescent="0.25">
      <c r="A49">
        <v>48</v>
      </c>
      <c r="B49" t="s">
        <v>227</v>
      </c>
      <c r="F49">
        <v>48</v>
      </c>
      <c r="G49" t="s">
        <v>234</v>
      </c>
      <c r="M49">
        <v>48</v>
      </c>
      <c r="N49" t="s">
        <v>234</v>
      </c>
      <c r="O49" t="s">
        <v>234</v>
      </c>
      <c r="U49">
        <v>48</v>
      </c>
      <c r="V49">
        <v>5</v>
      </c>
    </row>
    <row r="50" spans="1:22" x14ac:dyDescent="0.25">
      <c r="A50">
        <v>49</v>
      </c>
      <c r="B50" t="s">
        <v>227</v>
      </c>
      <c r="F50">
        <v>49</v>
      </c>
      <c r="G50" t="s">
        <v>235</v>
      </c>
      <c r="M50">
        <v>49</v>
      </c>
      <c r="N50" t="s">
        <v>234</v>
      </c>
      <c r="O50" t="s">
        <v>234</v>
      </c>
      <c r="U50">
        <v>49</v>
      </c>
      <c r="V50">
        <v>6</v>
      </c>
    </row>
    <row r="51" spans="1:22" x14ac:dyDescent="0.25">
      <c r="A51">
        <v>50</v>
      </c>
      <c r="B51" t="s">
        <v>227</v>
      </c>
      <c r="F51">
        <v>50</v>
      </c>
      <c r="G51" t="s">
        <v>235</v>
      </c>
      <c r="M51">
        <v>50</v>
      </c>
      <c r="N51" t="s">
        <v>234</v>
      </c>
      <c r="O51" t="s">
        <v>234</v>
      </c>
      <c r="U51">
        <v>50</v>
      </c>
      <c r="V51">
        <v>4</v>
      </c>
    </row>
    <row r="52" spans="1:22" x14ac:dyDescent="0.25">
      <c r="A52">
        <v>51</v>
      </c>
      <c r="B52" t="s">
        <v>227</v>
      </c>
      <c r="F52">
        <v>51</v>
      </c>
      <c r="G52" t="s">
        <v>234</v>
      </c>
      <c r="M52">
        <v>51</v>
      </c>
      <c r="N52" t="s">
        <v>235</v>
      </c>
      <c r="O52" t="s">
        <v>234</v>
      </c>
      <c r="U52">
        <v>51</v>
      </c>
      <c r="V52">
        <v>4</v>
      </c>
    </row>
    <row r="53" spans="1:22" x14ac:dyDescent="0.25">
      <c r="A53">
        <v>52</v>
      </c>
      <c r="B53" t="s">
        <v>227</v>
      </c>
      <c r="F53">
        <v>52</v>
      </c>
      <c r="G53" t="s">
        <v>235</v>
      </c>
      <c r="M53">
        <v>52</v>
      </c>
      <c r="N53" t="s">
        <v>235</v>
      </c>
      <c r="O53" t="s">
        <v>234</v>
      </c>
      <c r="U53">
        <v>52</v>
      </c>
      <c r="V53">
        <v>3</v>
      </c>
    </row>
    <row r="54" spans="1:22" x14ac:dyDescent="0.25">
      <c r="A54">
        <v>53</v>
      </c>
      <c r="B54" t="s">
        <v>226</v>
      </c>
      <c r="F54">
        <v>53</v>
      </c>
      <c r="G54" t="s">
        <v>234</v>
      </c>
      <c r="M54">
        <v>53</v>
      </c>
      <c r="N54" t="s">
        <v>235</v>
      </c>
      <c r="O54" t="s">
        <v>234</v>
      </c>
      <c r="U54">
        <v>53</v>
      </c>
      <c r="V54">
        <v>5</v>
      </c>
    </row>
    <row r="55" spans="1:22" x14ac:dyDescent="0.25">
      <c r="A55">
        <v>54</v>
      </c>
      <c r="B55" t="s">
        <v>226</v>
      </c>
      <c r="F55">
        <v>54</v>
      </c>
      <c r="G55" t="s">
        <v>235</v>
      </c>
      <c r="M55">
        <v>54</v>
      </c>
      <c r="N55" t="s">
        <v>234</v>
      </c>
      <c r="O55" t="s">
        <v>235</v>
      </c>
      <c r="U55">
        <v>54</v>
      </c>
      <c r="V55">
        <v>3</v>
      </c>
    </row>
    <row r="56" spans="1:22" x14ac:dyDescent="0.25">
      <c r="A56">
        <v>55</v>
      </c>
      <c r="B56" t="s">
        <v>227</v>
      </c>
      <c r="F56">
        <v>55</v>
      </c>
      <c r="G56" t="s">
        <v>234</v>
      </c>
      <c r="M56">
        <v>55</v>
      </c>
      <c r="N56" t="s">
        <v>234</v>
      </c>
      <c r="O56" t="s">
        <v>235</v>
      </c>
      <c r="U56">
        <v>55</v>
      </c>
      <c r="V56">
        <v>4</v>
      </c>
    </row>
    <row r="57" spans="1:22" x14ac:dyDescent="0.25">
      <c r="A57">
        <v>56</v>
      </c>
      <c r="B57" t="s">
        <v>226</v>
      </c>
      <c r="F57">
        <v>56</v>
      </c>
      <c r="G57" t="s">
        <v>234</v>
      </c>
      <c r="M57">
        <v>56</v>
      </c>
      <c r="N57" t="s">
        <v>235</v>
      </c>
      <c r="O57" t="s">
        <v>234</v>
      </c>
      <c r="U57">
        <v>56</v>
      </c>
      <c r="V57">
        <v>1</v>
      </c>
    </row>
    <row r="58" spans="1:22" x14ac:dyDescent="0.25">
      <c r="A58">
        <v>57</v>
      </c>
      <c r="B58" t="s">
        <v>226</v>
      </c>
      <c r="F58">
        <v>57</v>
      </c>
      <c r="G58" t="s">
        <v>235</v>
      </c>
      <c r="M58">
        <v>57</v>
      </c>
      <c r="N58" t="s">
        <v>234</v>
      </c>
      <c r="O58" t="s">
        <v>235</v>
      </c>
      <c r="U58">
        <v>57</v>
      </c>
      <c r="V58">
        <v>3</v>
      </c>
    </row>
    <row r="59" spans="1:22" x14ac:dyDescent="0.25">
      <c r="A59">
        <v>58</v>
      </c>
      <c r="B59" t="s">
        <v>226</v>
      </c>
      <c r="F59">
        <v>58</v>
      </c>
      <c r="G59" t="s">
        <v>234</v>
      </c>
      <c r="M59">
        <v>58</v>
      </c>
      <c r="N59" t="s">
        <v>234</v>
      </c>
      <c r="O59" t="s">
        <v>235</v>
      </c>
      <c r="U59">
        <v>58</v>
      </c>
      <c r="V59">
        <v>2</v>
      </c>
    </row>
    <row r="60" spans="1:22" x14ac:dyDescent="0.25">
      <c r="A60">
        <v>59</v>
      </c>
      <c r="B60" t="s">
        <v>227</v>
      </c>
      <c r="F60">
        <v>59</v>
      </c>
      <c r="G60" t="s">
        <v>235</v>
      </c>
      <c r="M60">
        <v>59</v>
      </c>
      <c r="N60" t="s">
        <v>234</v>
      </c>
      <c r="O60" t="s">
        <v>234</v>
      </c>
      <c r="U60">
        <v>59</v>
      </c>
      <c r="V60">
        <v>5</v>
      </c>
    </row>
    <row r="61" spans="1:22" x14ac:dyDescent="0.25">
      <c r="A61">
        <v>60</v>
      </c>
      <c r="B61" t="s">
        <v>227</v>
      </c>
      <c r="F61">
        <v>60</v>
      </c>
      <c r="G61" t="s">
        <v>234</v>
      </c>
      <c r="M61">
        <v>60</v>
      </c>
      <c r="N61" t="s">
        <v>234</v>
      </c>
      <c r="O61" t="s">
        <v>234</v>
      </c>
      <c r="U61">
        <v>60</v>
      </c>
      <c r="V61">
        <v>1</v>
      </c>
    </row>
    <row r="62" spans="1:22" x14ac:dyDescent="0.25">
      <c r="A62">
        <v>61</v>
      </c>
      <c r="B62" t="s">
        <v>227</v>
      </c>
      <c r="F62">
        <v>61</v>
      </c>
      <c r="G62" t="s">
        <v>234</v>
      </c>
      <c r="M62">
        <v>61</v>
      </c>
      <c r="N62" t="s">
        <v>235</v>
      </c>
      <c r="O62" t="s">
        <v>234</v>
      </c>
      <c r="U62">
        <v>61</v>
      </c>
      <c r="V62">
        <v>3</v>
      </c>
    </row>
    <row r="63" spans="1:22" x14ac:dyDescent="0.25">
      <c r="A63">
        <v>62</v>
      </c>
      <c r="B63" t="s">
        <v>227</v>
      </c>
      <c r="F63">
        <v>62</v>
      </c>
      <c r="G63" t="s">
        <v>235</v>
      </c>
      <c r="M63">
        <v>62</v>
      </c>
      <c r="N63" t="s">
        <v>234</v>
      </c>
      <c r="O63" t="s">
        <v>235</v>
      </c>
      <c r="U63">
        <v>62</v>
      </c>
      <c r="V63">
        <v>2</v>
      </c>
    </row>
    <row r="64" spans="1:22" x14ac:dyDescent="0.25">
      <c r="A64">
        <v>63</v>
      </c>
      <c r="B64" t="s">
        <v>226</v>
      </c>
      <c r="F64">
        <v>63</v>
      </c>
      <c r="G64" t="s">
        <v>234</v>
      </c>
      <c r="M64">
        <v>63</v>
      </c>
      <c r="N64" t="s">
        <v>234</v>
      </c>
      <c r="O64" t="s">
        <v>235</v>
      </c>
      <c r="U64">
        <v>63</v>
      </c>
      <c r="V64">
        <v>4</v>
      </c>
    </row>
    <row r="65" spans="1:22" x14ac:dyDescent="0.25">
      <c r="A65">
        <v>64</v>
      </c>
      <c r="B65" t="s">
        <v>226</v>
      </c>
      <c r="F65">
        <v>64</v>
      </c>
      <c r="G65" t="s">
        <v>234</v>
      </c>
      <c r="M65">
        <v>64</v>
      </c>
      <c r="N65" t="s">
        <v>234</v>
      </c>
      <c r="O65" t="s">
        <v>235</v>
      </c>
      <c r="U65">
        <v>64</v>
      </c>
      <c r="V65">
        <v>6</v>
      </c>
    </row>
    <row r="66" spans="1:22" x14ac:dyDescent="0.25">
      <c r="A66">
        <v>65</v>
      </c>
      <c r="B66" t="s">
        <v>227</v>
      </c>
      <c r="F66">
        <v>65</v>
      </c>
      <c r="G66" t="s">
        <v>234</v>
      </c>
      <c r="M66">
        <v>65</v>
      </c>
      <c r="N66" t="s">
        <v>235</v>
      </c>
      <c r="O66" t="s">
        <v>234</v>
      </c>
      <c r="U66">
        <v>65</v>
      </c>
      <c r="V66">
        <v>1</v>
      </c>
    </row>
    <row r="67" spans="1:22" x14ac:dyDescent="0.25">
      <c r="A67">
        <v>66</v>
      </c>
      <c r="B67" t="s">
        <v>227</v>
      </c>
      <c r="F67">
        <v>66</v>
      </c>
      <c r="G67" t="s">
        <v>235</v>
      </c>
      <c r="M67">
        <v>66</v>
      </c>
      <c r="N67" t="s">
        <v>234</v>
      </c>
      <c r="O67" t="s">
        <v>234</v>
      </c>
      <c r="U67">
        <v>66</v>
      </c>
      <c r="V67">
        <v>2</v>
      </c>
    </row>
    <row r="68" spans="1:22" x14ac:dyDescent="0.25">
      <c r="A68">
        <v>67</v>
      </c>
      <c r="B68" t="s">
        <v>227</v>
      </c>
      <c r="F68">
        <v>67</v>
      </c>
      <c r="G68" t="s">
        <v>235</v>
      </c>
      <c r="M68">
        <v>67</v>
      </c>
      <c r="N68" t="s">
        <v>235</v>
      </c>
      <c r="O68" t="s">
        <v>234</v>
      </c>
      <c r="U68">
        <v>67</v>
      </c>
      <c r="V68">
        <v>3</v>
      </c>
    </row>
    <row r="69" spans="1:22" x14ac:dyDescent="0.25">
      <c r="A69">
        <v>68</v>
      </c>
      <c r="B69" t="s">
        <v>226</v>
      </c>
      <c r="F69">
        <v>68</v>
      </c>
      <c r="G69" t="s">
        <v>235</v>
      </c>
      <c r="M69">
        <v>68</v>
      </c>
      <c r="N69" t="s">
        <v>234</v>
      </c>
      <c r="O69" t="s">
        <v>235</v>
      </c>
      <c r="U69">
        <v>68</v>
      </c>
      <c r="V69">
        <v>5</v>
      </c>
    </row>
    <row r="70" spans="1:22" x14ac:dyDescent="0.25">
      <c r="A70">
        <v>69</v>
      </c>
      <c r="B70" t="s">
        <v>226</v>
      </c>
      <c r="F70">
        <v>69</v>
      </c>
      <c r="G70" t="s">
        <v>235</v>
      </c>
      <c r="M70">
        <v>69</v>
      </c>
      <c r="N70" t="s">
        <v>234</v>
      </c>
      <c r="O70" t="s">
        <v>235</v>
      </c>
      <c r="U70">
        <v>69</v>
      </c>
      <c r="V70">
        <v>5</v>
      </c>
    </row>
    <row r="71" spans="1:22" x14ac:dyDescent="0.25">
      <c r="A71">
        <v>70</v>
      </c>
      <c r="B71" t="s">
        <v>227</v>
      </c>
      <c r="F71">
        <v>70</v>
      </c>
      <c r="G71" t="s">
        <v>234</v>
      </c>
      <c r="M71">
        <v>70</v>
      </c>
      <c r="N71" t="s">
        <v>235</v>
      </c>
      <c r="O71" t="s">
        <v>235</v>
      </c>
      <c r="U71">
        <v>70</v>
      </c>
      <c r="V71">
        <v>6</v>
      </c>
    </row>
    <row r="72" spans="1:22" x14ac:dyDescent="0.25">
      <c r="A72">
        <v>71</v>
      </c>
      <c r="B72" t="s">
        <v>227</v>
      </c>
      <c r="F72">
        <v>71</v>
      </c>
      <c r="G72" t="s">
        <v>235</v>
      </c>
      <c r="M72">
        <v>71</v>
      </c>
      <c r="N72" t="s">
        <v>234</v>
      </c>
      <c r="O72" t="s">
        <v>234</v>
      </c>
      <c r="U72">
        <v>71</v>
      </c>
      <c r="V72">
        <v>5</v>
      </c>
    </row>
    <row r="73" spans="1:22" x14ac:dyDescent="0.25">
      <c r="A73">
        <v>72</v>
      </c>
      <c r="B73" t="s">
        <v>226</v>
      </c>
      <c r="F73">
        <v>72</v>
      </c>
      <c r="G73" t="s">
        <v>235</v>
      </c>
      <c r="M73">
        <v>72</v>
      </c>
      <c r="N73" t="s">
        <v>234</v>
      </c>
      <c r="O73" t="s">
        <v>235</v>
      </c>
      <c r="U73">
        <v>72</v>
      </c>
      <c r="V73">
        <v>3</v>
      </c>
    </row>
    <row r="74" spans="1:22" x14ac:dyDescent="0.25">
      <c r="A74">
        <v>73</v>
      </c>
      <c r="B74" t="s">
        <v>227</v>
      </c>
      <c r="F74">
        <v>73</v>
      </c>
      <c r="G74" t="s">
        <v>234</v>
      </c>
      <c r="M74">
        <v>73</v>
      </c>
      <c r="N74" t="s">
        <v>234</v>
      </c>
      <c r="O74" t="s">
        <v>235</v>
      </c>
      <c r="U74">
        <v>73</v>
      </c>
      <c r="V74">
        <v>5</v>
      </c>
    </row>
    <row r="75" spans="1:22" x14ac:dyDescent="0.25">
      <c r="A75">
        <v>74</v>
      </c>
      <c r="B75" t="s">
        <v>226</v>
      </c>
      <c r="F75">
        <v>74</v>
      </c>
      <c r="G75" t="s">
        <v>234</v>
      </c>
      <c r="M75">
        <v>74</v>
      </c>
      <c r="N75" t="s">
        <v>235</v>
      </c>
      <c r="O75" t="s">
        <v>235</v>
      </c>
      <c r="U75">
        <v>74</v>
      </c>
      <c r="V75">
        <v>5</v>
      </c>
    </row>
    <row r="76" spans="1:22" x14ac:dyDescent="0.25">
      <c r="A76">
        <v>75</v>
      </c>
      <c r="B76" t="s">
        <v>227</v>
      </c>
      <c r="F76">
        <v>75</v>
      </c>
      <c r="G76" t="s">
        <v>234</v>
      </c>
      <c r="M76">
        <v>75</v>
      </c>
      <c r="N76" t="s">
        <v>234</v>
      </c>
      <c r="O76" t="s">
        <v>234</v>
      </c>
      <c r="U76">
        <v>75</v>
      </c>
      <c r="V76">
        <v>6</v>
      </c>
    </row>
    <row r="77" spans="1:22" x14ac:dyDescent="0.25">
      <c r="A77">
        <v>76</v>
      </c>
      <c r="B77" t="s">
        <v>226</v>
      </c>
      <c r="F77">
        <v>76</v>
      </c>
      <c r="G77" t="s">
        <v>234</v>
      </c>
      <c r="M77">
        <v>76</v>
      </c>
      <c r="N77" t="s">
        <v>234</v>
      </c>
      <c r="O77" t="s">
        <v>234</v>
      </c>
      <c r="U77">
        <v>76</v>
      </c>
      <c r="V77">
        <v>3</v>
      </c>
    </row>
    <row r="78" spans="1:22" x14ac:dyDescent="0.25">
      <c r="A78">
        <v>77</v>
      </c>
      <c r="B78" t="s">
        <v>226</v>
      </c>
      <c r="F78">
        <v>77</v>
      </c>
      <c r="G78" t="s">
        <v>235</v>
      </c>
      <c r="M78">
        <v>77</v>
      </c>
      <c r="N78" t="s">
        <v>235</v>
      </c>
      <c r="O78" t="s">
        <v>234</v>
      </c>
      <c r="U78">
        <v>77</v>
      </c>
      <c r="V78">
        <v>3</v>
      </c>
    </row>
    <row r="79" spans="1:22" x14ac:dyDescent="0.25">
      <c r="A79">
        <v>78</v>
      </c>
      <c r="B79" t="s">
        <v>227</v>
      </c>
      <c r="F79">
        <v>78</v>
      </c>
      <c r="G79" t="s">
        <v>234</v>
      </c>
      <c r="M79">
        <v>78</v>
      </c>
      <c r="N79" t="s">
        <v>235</v>
      </c>
      <c r="O79" t="s">
        <v>234</v>
      </c>
      <c r="U79">
        <v>78</v>
      </c>
      <c r="V79">
        <v>5</v>
      </c>
    </row>
    <row r="80" spans="1:22" x14ac:dyDescent="0.25">
      <c r="A80">
        <v>79</v>
      </c>
      <c r="B80" t="s">
        <v>227</v>
      </c>
      <c r="F80">
        <v>79</v>
      </c>
      <c r="G80" t="s">
        <v>235</v>
      </c>
      <c r="M80">
        <v>79</v>
      </c>
      <c r="N80" t="s">
        <v>234</v>
      </c>
      <c r="O80" t="s">
        <v>235</v>
      </c>
      <c r="U80">
        <v>79</v>
      </c>
      <c r="V80">
        <v>5</v>
      </c>
    </row>
    <row r="81" spans="1:22" x14ac:dyDescent="0.25">
      <c r="A81">
        <v>80</v>
      </c>
      <c r="B81" t="s">
        <v>226</v>
      </c>
      <c r="F81">
        <v>80</v>
      </c>
      <c r="G81" t="s">
        <v>235</v>
      </c>
      <c r="M81">
        <v>80</v>
      </c>
      <c r="N81" t="s">
        <v>234</v>
      </c>
      <c r="O81" t="s">
        <v>235</v>
      </c>
      <c r="U81">
        <v>80</v>
      </c>
      <c r="V81">
        <v>5</v>
      </c>
    </row>
    <row r="82" spans="1:22" x14ac:dyDescent="0.25">
      <c r="A82">
        <v>81</v>
      </c>
      <c r="B82" t="s">
        <v>226</v>
      </c>
      <c r="F82">
        <v>81</v>
      </c>
      <c r="G82" t="s">
        <v>234</v>
      </c>
      <c r="M82">
        <v>81</v>
      </c>
      <c r="N82" t="s">
        <v>234</v>
      </c>
      <c r="O82" t="s">
        <v>235</v>
      </c>
      <c r="U82">
        <v>81</v>
      </c>
      <c r="V82">
        <v>6</v>
      </c>
    </row>
    <row r="83" spans="1:22" x14ac:dyDescent="0.25">
      <c r="A83">
        <v>82</v>
      </c>
      <c r="B83" t="s">
        <v>226</v>
      </c>
      <c r="F83">
        <v>82</v>
      </c>
      <c r="G83" t="s">
        <v>235</v>
      </c>
      <c r="M83">
        <v>82</v>
      </c>
      <c r="N83" t="s">
        <v>234</v>
      </c>
      <c r="O83" t="s">
        <v>235</v>
      </c>
      <c r="U83">
        <v>82</v>
      </c>
      <c r="V83">
        <v>3</v>
      </c>
    </row>
    <row r="84" spans="1:22" x14ac:dyDescent="0.25">
      <c r="A84">
        <v>83</v>
      </c>
      <c r="B84" t="s">
        <v>226</v>
      </c>
      <c r="F84">
        <v>83</v>
      </c>
      <c r="G84" t="s">
        <v>235</v>
      </c>
      <c r="M84">
        <v>83</v>
      </c>
      <c r="N84" t="s">
        <v>235</v>
      </c>
      <c r="O84" t="s">
        <v>234</v>
      </c>
      <c r="U84">
        <v>83</v>
      </c>
      <c r="V84">
        <v>3</v>
      </c>
    </row>
    <row r="85" spans="1:22" x14ac:dyDescent="0.25">
      <c r="A85">
        <v>84</v>
      </c>
      <c r="B85" t="s">
        <v>226</v>
      </c>
      <c r="F85">
        <v>84</v>
      </c>
      <c r="G85" t="s">
        <v>234</v>
      </c>
      <c r="M85">
        <v>84</v>
      </c>
      <c r="N85" t="s">
        <v>235</v>
      </c>
      <c r="O85" t="s">
        <v>234</v>
      </c>
      <c r="U85">
        <v>84</v>
      </c>
      <c r="V85">
        <v>5</v>
      </c>
    </row>
    <row r="86" spans="1:22" x14ac:dyDescent="0.25">
      <c r="A86">
        <v>85</v>
      </c>
      <c r="B86" t="s">
        <v>226</v>
      </c>
      <c r="F86">
        <v>85</v>
      </c>
      <c r="G86" t="s">
        <v>234</v>
      </c>
      <c r="M86">
        <v>85</v>
      </c>
      <c r="N86" t="s">
        <v>235</v>
      </c>
      <c r="O86" t="s">
        <v>234</v>
      </c>
      <c r="U86">
        <v>85</v>
      </c>
      <c r="V86">
        <v>1</v>
      </c>
    </row>
    <row r="87" spans="1:22" x14ac:dyDescent="0.25">
      <c r="A87">
        <v>86</v>
      </c>
      <c r="B87" t="s">
        <v>226</v>
      </c>
      <c r="F87">
        <v>86</v>
      </c>
      <c r="G87" t="s">
        <v>234</v>
      </c>
      <c r="M87">
        <v>86</v>
      </c>
      <c r="N87" t="s">
        <v>235</v>
      </c>
      <c r="O87" t="s">
        <v>234</v>
      </c>
      <c r="U87">
        <v>86</v>
      </c>
      <c r="V87">
        <v>1</v>
      </c>
    </row>
    <row r="88" spans="1:22" x14ac:dyDescent="0.25">
      <c r="A88">
        <v>87</v>
      </c>
      <c r="B88" t="s">
        <v>226</v>
      </c>
      <c r="F88">
        <v>87</v>
      </c>
      <c r="G88" t="s">
        <v>234</v>
      </c>
      <c r="M88">
        <v>87</v>
      </c>
      <c r="N88" t="s">
        <v>235</v>
      </c>
      <c r="O88" t="s">
        <v>234</v>
      </c>
      <c r="U88">
        <v>87</v>
      </c>
      <c r="V88">
        <v>6</v>
      </c>
    </row>
    <row r="89" spans="1:22" x14ac:dyDescent="0.25">
      <c r="A89">
        <v>88</v>
      </c>
      <c r="B89" t="s">
        <v>226</v>
      </c>
      <c r="F89">
        <v>88</v>
      </c>
      <c r="G89" t="s">
        <v>235</v>
      </c>
      <c r="M89">
        <v>88</v>
      </c>
      <c r="N89" t="s">
        <v>235</v>
      </c>
      <c r="O89" t="s">
        <v>234</v>
      </c>
      <c r="U89">
        <v>88</v>
      </c>
      <c r="V89">
        <v>6</v>
      </c>
    </row>
    <row r="90" spans="1:22" x14ac:dyDescent="0.25">
      <c r="A90">
        <v>89</v>
      </c>
      <c r="B90" t="s">
        <v>226</v>
      </c>
      <c r="F90">
        <v>89</v>
      </c>
      <c r="G90" t="s">
        <v>234</v>
      </c>
      <c r="M90">
        <v>89</v>
      </c>
      <c r="N90" t="s">
        <v>235</v>
      </c>
      <c r="O90" t="s">
        <v>235</v>
      </c>
      <c r="U90">
        <v>89</v>
      </c>
      <c r="V90">
        <v>6</v>
      </c>
    </row>
    <row r="91" spans="1:22" x14ac:dyDescent="0.25">
      <c r="A91">
        <v>90</v>
      </c>
      <c r="B91" t="s">
        <v>227</v>
      </c>
      <c r="F91">
        <v>90</v>
      </c>
      <c r="G91" t="s">
        <v>234</v>
      </c>
      <c r="M91">
        <v>90</v>
      </c>
      <c r="N91" t="s">
        <v>235</v>
      </c>
      <c r="O91" t="s">
        <v>234</v>
      </c>
      <c r="U91">
        <v>90</v>
      </c>
      <c r="V91">
        <v>3</v>
      </c>
    </row>
    <row r="92" spans="1:22" x14ac:dyDescent="0.25">
      <c r="A92">
        <v>91</v>
      </c>
      <c r="B92" t="s">
        <v>226</v>
      </c>
      <c r="F92">
        <v>91</v>
      </c>
      <c r="G92" t="s">
        <v>234</v>
      </c>
      <c r="M92">
        <v>91</v>
      </c>
      <c r="N92" t="s">
        <v>234</v>
      </c>
      <c r="O92" t="s">
        <v>235</v>
      </c>
      <c r="U92">
        <v>91</v>
      </c>
      <c r="V92">
        <v>5</v>
      </c>
    </row>
    <row r="93" spans="1:22" x14ac:dyDescent="0.25">
      <c r="A93">
        <v>92</v>
      </c>
      <c r="B93" t="s">
        <v>226</v>
      </c>
      <c r="F93">
        <v>92</v>
      </c>
      <c r="G93" t="s">
        <v>235</v>
      </c>
      <c r="M93">
        <v>92</v>
      </c>
      <c r="N93" t="s">
        <v>235</v>
      </c>
      <c r="O93" t="s">
        <v>234</v>
      </c>
      <c r="U93">
        <v>92</v>
      </c>
      <c r="V93">
        <v>2</v>
      </c>
    </row>
    <row r="94" spans="1:22" x14ac:dyDescent="0.25">
      <c r="A94">
        <v>93</v>
      </c>
      <c r="B94" t="s">
        <v>227</v>
      </c>
      <c r="F94">
        <v>93</v>
      </c>
      <c r="G94" t="s">
        <v>234</v>
      </c>
      <c r="M94">
        <v>93</v>
      </c>
      <c r="N94" t="s">
        <v>234</v>
      </c>
      <c r="O94" t="s">
        <v>234</v>
      </c>
      <c r="U94">
        <v>93</v>
      </c>
      <c r="V94">
        <v>5</v>
      </c>
    </row>
    <row r="95" spans="1:22" x14ac:dyDescent="0.25">
      <c r="A95">
        <v>94</v>
      </c>
      <c r="B95" t="s">
        <v>226</v>
      </c>
      <c r="F95">
        <v>94</v>
      </c>
      <c r="G95" t="s">
        <v>235</v>
      </c>
      <c r="M95">
        <v>94</v>
      </c>
      <c r="N95" t="s">
        <v>234</v>
      </c>
      <c r="O95" t="s">
        <v>234</v>
      </c>
      <c r="U95">
        <v>94</v>
      </c>
      <c r="V95">
        <v>3</v>
      </c>
    </row>
    <row r="96" spans="1:22" x14ac:dyDescent="0.25">
      <c r="A96">
        <v>95</v>
      </c>
      <c r="B96" t="s">
        <v>227</v>
      </c>
      <c r="F96">
        <v>95</v>
      </c>
      <c r="G96" t="s">
        <v>235</v>
      </c>
      <c r="M96">
        <v>95</v>
      </c>
      <c r="N96" t="s">
        <v>235</v>
      </c>
      <c r="O96" t="s">
        <v>234</v>
      </c>
      <c r="U96">
        <v>95</v>
      </c>
      <c r="V96">
        <v>4</v>
      </c>
    </row>
    <row r="97" spans="1:22" x14ac:dyDescent="0.25">
      <c r="A97">
        <v>96</v>
      </c>
      <c r="B97" t="s">
        <v>227</v>
      </c>
      <c r="F97">
        <v>96</v>
      </c>
      <c r="G97" t="s">
        <v>235</v>
      </c>
      <c r="M97">
        <v>96</v>
      </c>
      <c r="N97" t="s">
        <v>235</v>
      </c>
      <c r="O97" t="s">
        <v>235</v>
      </c>
      <c r="U97">
        <v>96</v>
      </c>
      <c r="V97">
        <v>1</v>
      </c>
    </row>
    <row r="98" spans="1:22" x14ac:dyDescent="0.25">
      <c r="A98">
        <v>97</v>
      </c>
      <c r="B98" t="s">
        <v>226</v>
      </c>
      <c r="F98">
        <v>97</v>
      </c>
      <c r="G98" t="s">
        <v>234</v>
      </c>
      <c r="M98">
        <v>97</v>
      </c>
      <c r="N98" t="s">
        <v>234</v>
      </c>
      <c r="O98" t="s">
        <v>234</v>
      </c>
      <c r="U98">
        <v>97</v>
      </c>
      <c r="V98">
        <v>5</v>
      </c>
    </row>
    <row r="99" spans="1:22" x14ac:dyDescent="0.25">
      <c r="A99">
        <v>98</v>
      </c>
      <c r="B99" t="s">
        <v>226</v>
      </c>
      <c r="F99">
        <v>98</v>
      </c>
      <c r="G99" t="s">
        <v>235</v>
      </c>
      <c r="M99">
        <v>98</v>
      </c>
      <c r="N99" t="s">
        <v>235</v>
      </c>
      <c r="O99" t="s">
        <v>235</v>
      </c>
      <c r="U99">
        <v>98</v>
      </c>
      <c r="V99">
        <v>3</v>
      </c>
    </row>
    <row r="100" spans="1:22" x14ac:dyDescent="0.25">
      <c r="A100">
        <v>99</v>
      </c>
      <c r="B100" t="s">
        <v>227</v>
      </c>
      <c r="F100">
        <v>99</v>
      </c>
      <c r="G100" t="s">
        <v>234</v>
      </c>
      <c r="M100">
        <v>99</v>
      </c>
      <c r="N100" t="s">
        <v>234</v>
      </c>
      <c r="O100" t="s">
        <v>235</v>
      </c>
      <c r="U100">
        <v>99</v>
      </c>
      <c r="V100">
        <v>2</v>
      </c>
    </row>
    <row r="101" spans="1:22" x14ac:dyDescent="0.25">
      <c r="A101">
        <v>100</v>
      </c>
      <c r="B101" t="s">
        <v>226</v>
      </c>
      <c r="F101">
        <v>100</v>
      </c>
      <c r="G101" t="s">
        <v>234</v>
      </c>
      <c r="M101">
        <v>100</v>
      </c>
      <c r="N101" t="s">
        <v>234</v>
      </c>
      <c r="O101" t="s">
        <v>235</v>
      </c>
      <c r="U101">
        <v>100</v>
      </c>
      <c r="V101">
        <v>4</v>
      </c>
    </row>
    <row r="102" spans="1:22" x14ac:dyDescent="0.25">
      <c r="F102">
        <v>101</v>
      </c>
      <c r="G102" t="s">
        <v>234</v>
      </c>
    </row>
    <row r="103" spans="1:22" x14ac:dyDescent="0.25">
      <c r="F103">
        <v>102</v>
      </c>
      <c r="G103" t="s">
        <v>234</v>
      </c>
    </row>
    <row r="104" spans="1:22" x14ac:dyDescent="0.25">
      <c r="F104">
        <v>103</v>
      </c>
      <c r="G104" t="s">
        <v>235</v>
      </c>
    </row>
    <row r="105" spans="1:22" x14ac:dyDescent="0.25">
      <c r="F105">
        <v>104</v>
      </c>
      <c r="G105" t="s">
        <v>234</v>
      </c>
    </row>
    <row r="106" spans="1:22" x14ac:dyDescent="0.25">
      <c r="F106">
        <v>105</v>
      </c>
      <c r="G106" t="s">
        <v>235</v>
      </c>
    </row>
    <row r="107" spans="1:22" x14ac:dyDescent="0.25">
      <c r="F107">
        <v>106</v>
      </c>
      <c r="G107" t="s">
        <v>235</v>
      </c>
    </row>
    <row r="108" spans="1:22" x14ac:dyDescent="0.25">
      <c r="F108">
        <v>107</v>
      </c>
      <c r="G108" t="s">
        <v>234</v>
      </c>
    </row>
    <row r="109" spans="1:22" x14ac:dyDescent="0.25">
      <c r="F109">
        <v>108</v>
      </c>
      <c r="G109" t="s">
        <v>235</v>
      </c>
    </row>
    <row r="110" spans="1:22" x14ac:dyDescent="0.25">
      <c r="F110">
        <v>109</v>
      </c>
      <c r="G110" t="s">
        <v>234</v>
      </c>
    </row>
    <row r="111" spans="1:22" x14ac:dyDescent="0.25">
      <c r="F111">
        <v>110</v>
      </c>
      <c r="G111" t="s">
        <v>235</v>
      </c>
    </row>
    <row r="112" spans="1:22" x14ac:dyDescent="0.25">
      <c r="F112">
        <v>111</v>
      </c>
      <c r="G112" t="s">
        <v>234</v>
      </c>
    </row>
    <row r="113" spans="6:7" x14ac:dyDescent="0.25">
      <c r="F113">
        <v>112</v>
      </c>
      <c r="G113" t="s">
        <v>235</v>
      </c>
    </row>
    <row r="114" spans="6:7" x14ac:dyDescent="0.25">
      <c r="F114">
        <v>113</v>
      </c>
      <c r="G114" t="s">
        <v>234</v>
      </c>
    </row>
    <row r="115" spans="6:7" x14ac:dyDescent="0.25">
      <c r="F115">
        <v>114</v>
      </c>
      <c r="G115" t="s">
        <v>234</v>
      </c>
    </row>
    <row r="116" spans="6:7" x14ac:dyDescent="0.25">
      <c r="F116">
        <v>115</v>
      </c>
      <c r="G116" t="s">
        <v>235</v>
      </c>
    </row>
    <row r="117" spans="6:7" x14ac:dyDescent="0.25">
      <c r="F117">
        <v>116</v>
      </c>
      <c r="G117" t="s">
        <v>234</v>
      </c>
    </row>
    <row r="118" spans="6:7" x14ac:dyDescent="0.25">
      <c r="F118">
        <v>117</v>
      </c>
      <c r="G118" t="s">
        <v>234</v>
      </c>
    </row>
    <row r="119" spans="6:7" x14ac:dyDescent="0.25">
      <c r="F119">
        <v>118</v>
      </c>
      <c r="G119" t="s">
        <v>235</v>
      </c>
    </row>
    <row r="120" spans="6:7" x14ac:dyDescent="0.25">
      <c r="F120">
        <v>119</v>
      </c>
      <c r="G120" t="s">
        <v>234</v>
      </c>
    </row>
    <row r="121" spans="6:7" x14ac:dyDescent="0.25">
      <c r="F121">
        <v>120</v>
      </c>
      <c r="G121" t="s">
        <v>234</v>
      </c>
    </row>
    <row r="122" spans="6:7" x14ac:dyDescent="0.25">
      <c r="F122">
        <v>121</v>
      </c>
      <c r="G122" t="s">
        <v>235</v>
      </c>
    </row>
    <row r="123" spans="6:7" x14ac:dyDescent="0.25">
      <c r="F123">
        <v>122</v>
      </c>
      <c r="G123" t="s">
        <v>235</v>
      </c>
    </row>
    <row r="124" spans="6:7" x14ac:dyDescent="0.25">
      <c r="F124">
        <v>123</v>
      </c>
      <c r="G124" t="s">
        <v>235</v>
      </c>
    </row>
    <row r="125" spans="6:7" x14ac:dyDescent="0.25">
      <c r="F125">
        <v>124</v>
      </c>
      <c r="G125" t="s">
        <v>234</v>
      </c>
    </row>
    <row r="126" spans="6:7" x14ac:dyDescent="0.25">
      <c r="F126">
        <v>125</v>
      </c>
      <c r="G126" t="s">
        <v>235</v>
      </c>
    </row>
    <row r="127" spans="6:7" x14ac:dyDescent="0.25">
      <c r="F127">
        <v>126</v>
      </c>
      <c r="G127" t="s">
        <v>234</v>
      </c>
    </row>
    <row r="128" spans="6:7" x14ac:dyDescent="0.25">
      <c r="F128">
        <v>127</v>
      </c>
      <c r="G128" t="s">
        <v>235</v>
      </c>
    </row>
    <row r="129" spans="6:7" x14ac:dyDescent="0.25">
      <c r="F129">
        <v>128</v>
      </c>
      <c r="G129" t="s">
        <v>234</v>
      </c>
    </row>
    <row r="130" spans="6:7" x14ac:dyDescent="0.25">
      <c r="F130">
        <v>129</v>
      </c>
      <c r="G130" t="s">
        <v>235</v>
      </c>
    </row>
    <row r="131" spans="6:7" x14ac:dyDescent="0.25">
      <c r="F131">
        <v>130</v>
      </c>
      <c r="G131" t="s">
        <v>235</v>
      </c>
    </row>
    <row r="132" spans="6:7" x14ac:dyDescent="0.25">
      <c r="F132">
        <v>131</v>
      </c>
      <c r="G132" t="s">
        <v>235</v>
      </c>
    </row>
    <row r="133" spans="6:7" x14ac:dyDescent="0.25">
      <c r="F133">
        <v>132</v>
      </c>
      <c r="G133" t="s">
        <v>234</v>
      </c>
    </row>
    <row r="134" spans="6:7" x14ac:dyDescent="0.25">
      <c r="F134">
        <v>133</v>
      </c>
      <c r="G134" t="s">
        <v>235</v>
      </c>
    </row>
    <row r="135" spans="6:7" x14ac:dyDescent="0.25">
      <c r="F135">
        <v>134</v>
      </c>
      <c r="G135" t="s">
        <v>234</v>
      </c>
    </row>
    <row r="136" spans="6:7" x14ac:dyDescent="0.25">
      <c r="F136">
        <v>135</v>
      </c>
      <c r="G136" t="s">
        <v>235</v>
      </c>
    </row>
    <row r="137" spans="6:7" x14ac:dyDescent="0.25">
      <c r="F137">
        <v>136</v>
      </c>
      <c r="G137" t="s">
        <v>235</v>
      </c>
    </row>
    <row r="138" spans="6:7" x14ac:dyDescent="0.25">
      <c r="F138">
        <v>137</v>
      </c>
      <c r="G138" t="s">
        <v>235</v>
      </c>
    </row>
    <row r="139" spans="6:7" x14ac:dyDescent="0.25">
      <c r="F139">
        <v>138</v>
      </c>
      <c r="G139" t="s">
        <v>235</v>
      </c>
    </row>
    <row r="140" spans="6:7" x14ac:dyDescent="0.25">
      <c r="F140">
        <v>139</v>
      </c>
      <c r="G140" t="s">
        <v>235</v>
      </c>
    </row>
    <row r="141" spans="6:7" x14ac:dyDescent="0.25">
      <c r="F141">
        <v>140</v>
      </c>
      <c r="G141" t="s">
        <v>235</v>
      </c>
    </row>
    <row r="142" spans="6:7" x14ac:dyDescent="0.25">
      <c r="F142">
        <v>141</v>
      </c>
      <c r="G142" t="s">
        <v>234</v>
      </c>
    </row>
    <row r="143" spans="6:7" x14ac:dyDescent="0.25">
      <c r="F143">
        <v>142</v>
      </c>
      <c r="G143" t="s">
        <v>234</v>
      </c>
    </row>
    <row r="144" spans="6:7" x14ac:dyDescent="0.25">
      <c r="F144">
        <v>143</v>
      </c>
      <c r="G144" t="s">
        <v>235</v>
      </c>
    </row>
    <row r="145" spans="6:7" x14ac:dyDescent="0.25">
      <c r="F145">
        <v>144</v>
      </c>
      <c r="G145" t="s">
        <v>234</v>
      </c>
    </row>
    <row r="146" spans="6:7" x14ac:dyDescent="0.25">
      <c r="F146">
        <v>145</v>
      </c>
      <c r="G146" t="s">
        <v>234</v>
      </c>
    </row>
    <row r="147" spans="6:7" x14ac:dyDescent="0.25">
      <c r="F147">
        <v>146</v>
      </c>
      <c r="G147" t="s">
        <v>235</v>
      </c>
    </row>
    <row r="148" spans="6:7" x14ac:dyDescent="0.25">
      <c r="F148">
        <v>147</v>
      </c>
      <c r="G148" t="s">
        <v>235</v>
      </c>
    </row>
    <row r="149" spans="6:7" x14ac:dyDescent="0.25">
      <c r="F149">
        <v>148</v>
      </c>
      <c r="G149" t="s">
        <v>234</v>
      </c>
    </row>
    <row r="150" spans="6:7" x14ac:dyDescent="0.25">
      <c r="F150">
        <v>149</v>
      </c>
      <c r="G150" t="s">
        <v>235</v>
      </c>
    </row>
    <row r="151" spans="6:7" x14ac:dyDescent="0.25">
      <c r="F151">
        <v>150</v>
      </c>
      <c r="G151" t="s">
        <v>235</v>
      </c>
    </row>
    <row r="152" spans="6:7" x14ac:dyDescent="0.25">
      <c r="F152">
        <v>151</v>
      </c>
      <c r="G152" t="s">
        <v>235</v>
      </c>
    </row>
    <row r="153" spans="6:7" x14ac:dyDescent="0.25">
      <c r="F153">
        <v>152</v>
      </c>
      <c r="G153" t="s">
        <v>235</v>
      </c>
    </row>
    <row r="154" spans="6:7" x14ac:dyDescent="0.25">
      <c r="F154">
        <v>153</v>
      </c>
      <c r="G154" t="s">
        <v>235</v>
      </c>
    </row>
    <row r="155" spans="6:7" x14ac:dyDescent="0.25">
      <c r="F155">
        <v>154</v>
      </c>
      <c r="G155" t="s">
        <v>234</v>
      </c>
    </row>
    <row r="156" spans="6:7" x14ac:dyDescent="0.25">
      <c r="F156">
        <v>155</v>
      </c>
      <c r="G156" t="s">
        <v>234</v>
      </c>
    </row>
    <row r="157" spans="6:7" x14ac:dyDescent="0.25">
      <c r="F157">
        <v>156</v>
      </c>
      <c r="G157" t="s">
        <v>235</v>
      </c>
    </row>
    <row r="158" spans="6:7" x14ac:dyDescent="0.25">
      <c r="F158">
        <v>157</v>
      </c>
      <c r="G158" t="s">
        <v>234</v>
      </c>
    </row>
    <row r="159" spans="6:7" x14ac:dyDescent="0.25">
      <c r="F159">
        <v>158</v>
      </c>
      <c r="G159" t="s">
        <v>235</v>
      </c>
    </row>
    <row r="160" spans="6:7" x14ac:dyDescent="0.25">
      <c r="F160">
        <v>159</v>
      </c>
      <c r="G160" t="s">
        <v>234</v>
      </c>
    </row>
    <row r="161" spans="6:7" x14ac:dyDescent="0.25">
      <c r="F161">
        <v>160</v>
      </c>
      <c r="G161" t="s">
        <v>235</v>
      </c>
    </row>
    <row r="162" spans="6:7" x14ac:dyDescent="0.25">
      <c r="F162">
        <v>161</v>
      </c>
      <c r="G162" t="s">
        <v>234</v>
      </c>
    </row>
    <row r="163" spans="6:7" x14ac:dyDescent="0.25">
      <c r="F163">
        <v>162</v>
      </c>
      <c r="G163" t="s">
        <v>235</v>
      </c>
    </row>
    <row r="164" spans="6:7" x14ac:dyDescent="0.25">
      <c r="F164">
        <v>163</v>
      </c>
      <c r="G164" t="s">
        <v>235</v>
      </c>
    </row>
    <row r="165" spans="6:7" x14ac:dyDescent="0.25">
      <c r="F165">
        <v>164</v>
      </c>
      <c r="G165" t="s">
        <v>235</v>
      </c>
    </row>
    <row r="166" spans="6:7" x14ac:dyDescent="0.25">
      <c r="F166">
        <v>165</v>
      </c>
      <c r="G166" t="s">
        <v>235</v>
      </c>
    </row>
    <row r="167" spans="6:7" x14ac:dyDescent="0.25">
      <c r="F167">
        <v>166</v>
      </c>
      <c r="G167" t="s">
        <v>235</v>
      </c>
    </row>
    <row r="168" spans="6:7" x14ac:dyDescent="0.25">
      <c r="F168">
        <v>167</v>
      </c>
      <c r="G168" t="s">
        <v>234</v>
      </c>
    </row>
    <row r="169" spans="6:7" x14ac:dyDescent="0.25">
      <c r="F169">
        <v>168</v>
      </c>
      <c r="G169" t="s">
        <v>235</v>
      </c>
    </row>
    <row r="170" spans="6:7" x14ac:dyDescent="0.25">
      <c r="F170">
        <v>169</v>
      </c>
      <c r="G170" t="s">
        <v>235</v>
      </c>
    </row>
    <row r="171" spans="6:7" x14ac:dyDescent="0.25">
      <c r="F171">
        <v>170</v>
      </c>
      <c r="G171" t="s">
        <v>234</v>
      </c>
    </row>
    <row r="172" spans="6:7" x14ac:dyDescent="0.25">
      <c r="F172">
        <v>171</v>
      </c>
      <c r="G172" t="s">
        <v>234</v>
      </c>
    </row>
    <row r="173" spans="6:7" x14ac:dyDescent="0.25">
      <c r="F173">
        <v>172</v>
      </c>
      <c r="G173" t="s">
        <v>235</v>
      </c>
    </row>
    <row r="174" spans="6:7" x14ac:dyDescent="0.25">
      <c r="F174">
        <v>173</v>
      </c>
      <c r="G174" t="s">
        <v>235</v>
      </c>
    </row>
    <row r="175" spans="6:7" x14ac:dyDescent="0.25">
      <c r="F175">
        <v>174</v>
      </c>
      <c r="G175" t="s">
        <v>235</v>
      </c>
    </row>
    <row r="176" spans="6:7" x14ac:dyDescent="0.25">
      <c r="F176">
        <v>175</v>
      </c>
      <c r="G176" t="s">
        <v>234</v>
      </c>
    </row>
    <row r="177" spans="6:7" x14ac:dyDescent="0.25">
      <c r="F177">
        <v>176</v>
      </c>
      <c r="G177" t="s">
        <v>235</v>
      </c>
    </row>
    <row r="178" spans="6:7" x14ac:dyDescent="0.25">
      <c r="F178">
        <v>177</v>
      </c>
      <c r="G178" t="s">
        <v>234</v>
      </c>
    </row>
    <row r="179" spans="6:7" x14ac:dyDescent="0.25">
      <c r="F179">
        <v>178</v>
      </c>
      <c r="G179" t="s">
        <v>235</v>
      </c>
    </row>
    <row r="180" spans="6:7" x14ac:dyDescent="0.25">
      <c r="F180">
        <v>179</v>
      </c>
      <c r="G180" t="s">
        <v>235</v>
      </c>
    </row>
    <row r="181" spans="6:7" x14ac:dyDescent="0.25">
      <c r="F181">
        <v>180</v>
      </c>
      <c r="G181" t="s">
        <v>235</v>
      </c>
    </row>
    <row r="182" spans="6:7" x14ac:dyDescent="0.25">
      <c r="F182">
        <v>181</v>
      </c>
      <c r="G182" t="s">
        <v>234</v>
      </c>
    </row>
    <row r="183" spans="6:7" x14ac:dyDescent="0.25">
      <c r="F183">
        <v>182</v>
      </c>
      <c r="G183" t="s">
        <v>234</v>
      </c>
    </row>
    <row r="184" spans="6:7" x14ac:dyDescent="0.25">
      <c r="F184">
        <v>183</v>
      </c>
      <c r="G184" t="s">
        <v>235</v>
      </c>
    </row>
    <row r="185" spans="6:7" x14ac:dyDescent="0.25">
      <c r="F185">
        <v>184</v>
      </c>
      <c r="G185" t="s">
        <v>234</v>
      </c>
    </row>
    <row r="186" spans="6:7" x14ac:dyDescent="0.25">
      <c r="F186">
        <v>185</v>
      </c>
      <c r="G186" t="s">
        <v>235</v>
      </c>
    </row>
    <row r="187" spans="6:7" x14ac:dyDescent="0.25">
      <c r="F187">
        <v>186</v>
      </c>
      <c r="G187" t="s">
        <v>235</v>
      </c>
    </row>
    <row r="188" spans="6:7" x14ac:dyDescent="0.25">
      <c r="F188">
        <v>187</v>
      </c>
      <c r="G188" t="s">
        <v>234</v>
      </c>
    </row>
    <row r="189" spans="6:7" x14ac:dyDescent="0.25">
      <c r="F189">
        <v>188</v>
      </c>
      <c r="G189" t="s">
        <v>235</v>
      </c>
    </row>
    <row r="190" spans="6:7" x14ac:dyDescent="0.25">
      <c r="F190">
        <v>189</v>
      </c>
      <c r="G190" t="s">
        <v>234</v>
      </c>
    </row>
    <row r="191" spans="6:7" x14ac:dyDescent="0.25">
      <c r="F191">
        <v>190</v>
      </c>
      <c r="G191" t="s">
        <v>235</v>
      </c>
    </row>
    <row r="192" spans="6:7" x14ac:dyDescent="0.25">
      <c r="F192">
        <v>191</v>
      </c>
      <c r="G192" t="s">
        <v>234</v>
      </c>
    </row>
    <row r="193" spans="6:7" x14ac:dyDescent="0.25">
      <c r="F193">
        <v>192</v>
      </c>
      <c r="G193" t="s">
        <v>234</v>
      </c>
    </row>
    <row r="194" spans="6:7" x14ac:dyDescent="0.25">
      <c r="F194">
        <v>193</v>
      </c>
      <c r="G194" t="s">
        <v>234</v>
      </c>
    </row>
    <row r="195" spans="6:7" x14ac:dyDescent="0.25">
      <c r="F195">
        <v>194</v>
      </c>
      <c r="G195" t="s">
        <v>235</v>
      </c>
    </row>
    <row r="196" spans="6:7" x14ac:dyDescent="0.25">
      <c r="F196">
        <v>195</v>
      </c>
      <c r="G196" t="s">
        <v>234</v>
      </c>
    </row>
    <row r="197" spans="6:7" x14ac:dyDescent="0.25">
      <c r="F197">
        <v>196</v>
      </c>
      <c r="G197" t="s">
        <v>235</v>
      </c>
    </row>
    <row r="198" spans="6:7" x14ac:dyDescent="0.25">
      <c r="F198">
        <v>197</v>
      </c>
      <c r="G198" t="s">
        <v>234</v>
      </c>
    </row>
    <row r="199" spans="6:7" x14ac:dyDescent="0.25">
      <c r="F199">
        <v>198</v>
      </c>
      <c r="G199" t="s">
        <v>235</v>
      </c>
    </row>
    <row r="200" spans="6:7" x14ac:dyDescent="0.25">
      <c r="F200">
        <v>199</v>
      </c>
      <c r="G200" t="s">
        <v>234</v>
      </c>
    </row>
    <row r="201" spans="6:7" x14ac:dyDescent="0.25">
      <c r="F201">
        <v>200</v>
      </c>
      <c r="G201" t="s">
        <v>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9EE5-EC35-4866-BB6A-FA080C32899D}">
  <dimension ref="A1:T101"/>
  <sheetViews>
    <sheetView workbookViewId="0">
      <selection activeCell="T15" sqref="T15"/>
    </sheetView>
  </sheetViews>
  <sheetFormatPr defaultRowHeight="15" x14ac:dyDescent="0.25"/>
  <cols>
    <col min="4" max="4" width="17" customWidth="1"/>
    <col min="9" max="10" width="11.140625" customWidth="1"/>
    <col min="11" max="11" width="13.7109375" customWidth="1"/>
    <col min="13" max="13" width="28" customWidth="1"/>
    <col min="14" max="14" width="11.28515625" customWidth="1"/>
    <col min="17" max="17" width="12.140625" customWidth="1"/>
    <col min="20" max="20" width="16.7109375" customWidth="1"/>
  </cols>
  <sheetData>
    <row r="1" spans="1:20" x14ac:dyDescent="0.25">
      <c r="A1" t="s">
        <v>236</v>
      </c>
      <c r="B1" t="s">
        <v>254</v>
      </c>
      <c r="I1" s="1" t="s">
        <v>258</v>
      </c>
      <c r="J1" s="1" t="s">
        <v>259</v>
      </c>
      <c r="K1" s="1" t="s">
        <v>260</v>
      </c>
      <c r="Q1" s="1" t="s">
        <v>260</v>
      </c>
      <c r="R1" s="1" t="s">
        <v>254</v>
      </c>
    </row>
    <row r="2" spans="1:20" x14ac:dyDescent="0.25">
      <c r="A2" cm="1">
        <f t="array" ref="A2:A101">_xlfn.SEQUENCE(100)</f>
        <v>1</v>
      </c>
      <c r="B2">
        <v>2</v>
      </c>
      <c r="I2" cm="1">
        <f t="array" ref="I2:I101">_xlfn.SEQUENCE(100)</f>
        <v>1</v>
      </c>
      <c r="J2" t="s">
        <v>261</v>
      </c>
      <c r="K2" t="s">
        <v>264</v>
      </c>
      <c r="Q2" t="s">
        <v>264</v>
      </c>
      <c r="R2">
        <v>2</v>
      </c>
    </row>
    <row r="3" spans="1:20" x14ac:dyDescent="0.25">
      <c r="A3">
        <v>2</v>
      </c>
      <c r="B3">
        <v>3</v>
      </c>
      <c r="D3" t="s">
        <v>255</v>
      </c>
      <c r="I3">
        <v>2</v>
      </c>
      <c r="J3" t="s">
        <v>262</v>
      </c>
      <c r="K3" t="s">
        <v>264</v>
      </c>
      <c r="Q3" t="s">
        <v>264</v>
      </c>
      <c r="R3">
        <v>3</v>
      </c>
    </row>
    <row r="4" spans="1:20" x14ac:dyDescent="0.25">
      <c r="A4">
        <v>3</v>
      </c>
      <c r="B4">
        <v>3</v>
      </c>
      <c r="D4">
        <f>COUNTIF(B2:B101,2)</f>
        <v>19</v>
      </c>
      <c r="I4">
        <v>3</v>
      </c>
      <c r="J4" t="s">
        <v>262</v>
      </c>
      <c r="K4" t="s">
        <v>265</v>
      </c>
      <c r="Q4" t="s">
        <v>265</v>
      </c>
      <c r="R4">
        <v>3</v>
      </c>
    </row>
    <row r="5" spans="1:20" x14ac:dyDescent="0.25">
      <c r="A5">
        <v>4</v>
      </c>
      <c r="B5">
        <v>6</v>
      </c>
      <c r="D5" t="s">
        <v>256</v>
      </c>
      <c r="I5">
        <v>4</v>
      </c>
      <c r="J5" t="s">
        <v>262</v>
      </c>
      <c r="K5" t="s">
        <v>264</v>
      </c>
      <c r="M5" t="s">
        <v>263</v>
      </c>
      <c r="N5">
        <f>COUNTIF(J2:J101,"Male")</f>
        <v>54</v>
      </c>
      <c r="Q5" t="s">
        <v>264</v>
      </c>
      <c r="R5">
        <v>6</v>
      </c>
      <c r="T5" t="s">
        <v>269</v>
      </c>
    </row>
    <row r="6" spans="1:20" x14ac:dyDescent="0.25">
      <c r="A6">
        <v>5</v>
      </c>
      <c r="B6">
        <v>1</v>
      </c>
      <c r="D6">
        <f>COUNTIF(B2:B101,4)</f>
        <v>9</v>
      </c>
      <c r="I6">
        <v>5</v>
      </c>
      <c r="J6" t="s">
        <v>262</v>
      </c>
      <c r="K6" t="s">
        <v>265</v>
      </c>
      <c r="M6" t="s">
        <v>267</v>
      </c>
      <c r="N6">
        <f>COUNTIF(J3:J102,"Female")</f>
        <v>46</v>
      </c>
      <c r="Q6" t="s">
        <v>265</v>
      </c>
      <c r="R6">
        <v>1</v>
      </c>
      <c r="T6">
        <f>COUNTIFS(Q2:Q101,"Yes",R2:R101,5)</f>
        <v>8</v>
      </c>
    </row>
    <row r="7" spans="1:20" x14ac:dyDescent="0.25">
      <c r="A7">
        <v>6</v>
      </c>
      <c r="B7">
        <v>6</v>
      </c>
      <c r="D7" t="s">
        <v>257</v>
      </c>
      <c r="I7">
        <v>6</v>
      </c>
      <c r="J7" t="s">
        <v>262</v>
      </c>
      <c r="K7" t="s">
        <v>265</v>
      </c>
      <c r="M7" t="s">
        <v>266</v>
      </c>
      <c r="N7">
        <f>COUNTIF(K2:K101,"Yes")</f>
        <v>53</v>
      </c>
      <c r="Q7" t="s">
        <v>265</v>
      </c>
      <c r="R7">
        <v>6</v>
      </c>
      <c r="T7" t="s">
        <v>270</v>
      </c>
    </row>
    <row r="8" spans="1:20" x14ac:dyDescent="0.25">
      <c r="A8">
        <v>7</v>
      </c>
      <c r="B8">
        <v>1</v>
      </c>
      <c r="D8">
        <f>(COUNTIF(B2:B101,2)+COUNTIF(B2:B101,4))/100</f>
        <v>0.28000000000000003</v>
      </c>
      <c r="I8">
        <v>7</v>
      </c>
      <c r="J8" t="s">
        <v>262</v>
      </c>
      <c r="K8" t="s">
        <v>264</v>
      </c>
      <c r="M8" t="s">
        <v>268</v>
      </c>
      <c r="N8">
        <f>COUNTIFS(J2:J101,"Male",K2:K101,"Yes")</f>
        <v>32</v>
      </c>
      <c r="Q8" t="s">
        <v>264</v>
      </c>
      <c r="R8">
        <v>1</v>
      </c>
      <c r="T8">
        <f>COUNTIFS(Q2:Q101,"Yes",R2:R101,5)/100</f>
        <v>0.08</v>
      </c>
    </row>
    <row r="9" spans="1:20" x14ac:dyDescent="0.25">
      <c r="A9">
        <v>8</v>
      </c>
      <c r="B9">
        <v>4</v>
      </c>
      <c r="D9" s="3">
        <f>(COUNTIF(B2:B101,2)+COUNTIF(B2:B101,4))/100</f>
        <v>0.28000000000000003</v>
      </c>
      <c r="I9">
        <v>8</v>
      </c>
      <c r="J9" t="s">
        <v>262</v>
      </c>
      <c r="K9" t="s">
        <v>264</v>
      </c>
      <c r="Q9" t="s">
        <v>264</v>
      </c>
      <c r="R9">
        <v>4</v>
      </c>
    </row>
    <row r="10" spans="1:20" x14ac:dyDescent="0.25">
      <c r="A10">
        <v>9</v>
      </c>
      <c r="B10">
        <v>3</v>
      </c>
      <c r="I10">
        <v>9</v>
      </c>
      <c r="J10" t="s">
        <v>261</v>
      </c>
      <c r="K10" t="s">
        <v>265</v>
      </c>
      <c r="N10">
        <f>(COUNTIF(J2:J101,"Male")+COUNTIF(K2:K101,"Yes")-COUNTIFS(J2:J101,"Male",K2:K101,"Yes"))/100</f>
        <v>0.75</v>
      </c>
      <c r="Q10" t="s">
        <v>265</v>
      </c>
      <c r="R10">
        <v>3</v>
      </c>
    </row>
    <row r="11" spans="1:20" x14ac:dyDescent="0.25">
      <c r="A11">
        <v>10</v>
      </c>
      <c r="B11">
        <v>2</v>
      </c>
      <c r="I11">
        <v>10</v>
      </c>
      <c r="J11" t="s">
        <v>261</v>
      </c>
      <c r="K11" t="s">
        <v>264</v>
      </c>
      <c r="Q11" t="s">
        <v>264</v>
      </c>
      <c r="R11">
        <v>2</v>
      </c>
    </row>
    <row r="12" spans="1:20" x14ac:dyDescent="0.25">
      <c r="A12">
        <v>11</v>
      </c>
      <c r="B12">
        <v>5</v>
      </c>
      <c r="I12">
        <v>11</v>
      </c>
      <c r="J12" t="s">
        <v>261</v>
      </c>
      <c r="K12" t="s">
        <v>264</v>
      </c>
      <c r="Q12" t="s">
        <v>264</v>
      </c>
      <c r="R12">
        <v>5</v>
      </c>
    </row>
    <row r="13" spans="1:20" x14ac:dyDescent="0.25">
      <c r="A13">
        <v>12</v>
      </c>
      <c r="B13">
        <v>3</v>
      </c>
      <c r="I13">
        <v>12</v>
      </c>
      <c r="J13" t="s">
        <v>262</v>
      </c>
      <c r="K13" t="s">
        <v>264</v>
      </c>
      <c r="Q13" t="s">
        <v>264</v>
      </c>
      <c r="R13">
        <v>3</v>
      </c>
    </row>
    <row r="14" spans="1:20" x14ac:dyDescent="0.25">
      <c r="A14">
        <v>13</v>
      </c>
      <c r="B14">
        <v>3</v>
      </c>
      <c r="I14">
        <v>13</v>
      </c>
      <c r="J14" t="s">
        <v>262</v>
      </c>
      <c r="K14" t="s">
        <v>264</v>
      </c>
      <c r="Q14" t="s">
        <v>264</v>
      </c>
      <c r="R14">
        <v>3</v>
      </c>
    </row>
    <row r="15" spans="1:20" x14ac:dyDescent="0.25">
      <c r="A15">
        <v>14</v>
      </c>
      <c r="B15">
        <v>3</v>
      </c>
      <c r="I15">
        <v>14</v>
      </c>
      <c r="J15" t="s">
        <v>261</v>
      </c>
      <c r="K15" t="s">
        <v>264</v>
      </c>
      <c r="Q15" t="s">
        <v>264</v>
      </c>
      <c r="R15">
        <v>3</v>
      </c>
    </row>
    <row r="16" spans="1:20" x14ac:dyDescent="0.25">
      <c r="A16">
        <v>15</v>
      </c>
      <c r="B16">
        <v>5</v>
      </c>
      <c r="I16">
        <v>15</v>
      </c>
      <c r="J16" t="s">
        <v>262</v>
      </c>
      <c r="K16" t="s">
        <v>265</v>
      </c>
      <c r="Q16" t="s">
        <v>265</v>
      </c>
      <c r="R16">
        <v>5</v>
      </c>
    </row>
    <row r="17" spans="1:18" x14ac:dyDescent="0.25">
      <c r="A17">
        <v>16</v>
      </c>
      <c r="B17">
        <v>6</v>
      </c>
      <c r="I17">
        <v>16</v>
      </c>
      <c r="J17" t="s">
        <v>262</v>
      </c>
      <c r="K17" t="s">
        <v>264</v>
      </c>
      <c r="Q17" t="s">
        <v>264</v>
      </c>
      <c r="R17">
        <v>6</v>
      </c>
    </row>
    <row r="18" spans="1:18" x14ac:dyDescent="0.25">
      <c r="A18">
        <v>17</v>
      </c>
      <c r="B18">
        <v>5</v>
      </c>
      <c r="I18">
        <v>17</v>
      </c>
      <c r="J18" t="s">
        <v>261</v>
      </c>
      <c r="K18" t="s">
        <v>264</v>
      </c>
      <c r="Q18" t="s">
        <v>264</v>
      </c>
      <c r="R18">
        <v>5</v>
      </c>
    </row>
    <row r="19" spans="1:18" x14ac:dyDescent="0.25">
      <c r="A19">
        <v>18</v>
      </c>
      <c r="B19">
        <v>5</v>
      </c>
      <c r="I19">
        <v>18</v>
      </c>
      <c r="J19" t="s">
        <v>262</v>
      </c>
      <c r="K19" t="s">
        <v>265</v>
      </c>
      <c r="Q19" t="s">
        <v>265</v>
      </c>
      <c r="R19">
        <v>5</v>
      </c>
    </row>
    <row r="20" spans="1:18" x14ac:dyDescent="0.25">
      <c r="A20">
        <v>19</v>
      </c>
      <c r="B20">
        <v>4</v>
      </c>
      <c r="I20">
        <v>19</v>
      </c>
      <c r="J20" t="s">
        <v>262</v>
      </c>
      <c r="K20" t="s">
        <v>264</v>
      </c>
      <c r="Q20" t="s">
        <v>264</v>
      </c>
      <c r="R20">
        <v>4</v>
      </c>
    </row>
    <row r="21" spans="1:18" x14ac:dyDescent="0.25">
      <c r="A21">
        <v>20</v>
      </c>
      <c r="B21">
        <v>4</v>
      </c>
      <c r="I21">
        <v>20</v>
      </c>
      <c r="J21" t="s">
        <v>261</v>
      </c>
      <c r="K21" t="s">
        <v>265</v>
      </c>
      <c r="Q21" t="s">
        <v>265</v>
      </c>
      <c r="R21">
        <v>4</v>
      </c>
    </row>
    <row r="22" spans="1:18" x14ac:dyDescent="0.25">
      <c r="A22">
        <v>21</v>
      </c>
      <c r="B22">
        <v>1</v>
      </c>
      <c r="I22">
        <v>21</v>
      </c>
      <c r="J22" t="s">
        <v>262</v>
      </c>
      <c r="K22" t="s">
        <v>265</v>
      </c>
      <c r="Q22" t="s">
        <v>265</v>
      </c>
      <c r="R22">
        <v>1</v>
      </c>
    </row>
    <row r="23" spans="1:18" x14ac:dyDescent="0.25">
      <c r="A23">
        <v>22</v>
      </c>
      <c r="B23">
        <v>3</v>
      </c>
      <c r="I23">
        <v>22</v>
      </c>
      <c r="J23" t="s">
        <v>262</v>
      </c>
      <c r="K23" t="s">
        <v>265</v>
      </c>
      <c r="Q23" t="s">
        <v>265</v>
      </c>
      <c r="R23">
        <v>3</v>
      </c>
    </row>
    <row r="24" spans="1:18" x14ac:dyDescent="0.25">
      <c r="A24">
        <v>23</v>
      </c>
      <c r="B24">
        <v>1</v>
      </c>
      <c r="I24">
        <v>23</v>
      </c>
      <c r="J24" t="s">
        <v>261</v>
      </c>
      <c r="K24" t="s">
        <v>264</v>
      </c>
      <c r="Q24" t="s">
        <v>264</v>
      </c>
      <c r="R24">
        <v>1</v>
      </c>
    </row>
    <row r="25" spans="1:18" x14ac:dyDescent="0.25">
      <c r="A25">
        <v>24</v>
      </c>
      <c r="B25">
        <v>6</v>
      </c>
      <c r="I25">
        <v>24</v>
      </c>
      <c r="J25" t="s">
        <v>261</v>
      </c>
      <c r="K25" t="s">
        <v>264</v>
      </c>
      <c r="Q25" t="s">
        <v>264</v>
      </c>
      <c r="R25">
        <v>6</v>
      </c>
    </row>
    <row r="26" spans="1:18" x14ac:dyDescent="0.25">
      <c r="A26">
        <v>25</v>
      </c>
      <c r="B26">
        <v>2</v>
      </c>
      <c r="I26">
        <v>25</v>
      </c>
      <c r="J26" t="s">
        <v>261</v>
      </c>
      <c r="K26" t="s">
        <v>265</v>
      </c>
      <c r="Q26" t="s">
        <v>265</v>
      </c>
      <c r="R26">
        <v>2</v>
      </c>
    </row>
    <row r="27" spans="1:18" x14ac:dyDescent="0.25">
      <c r="A27">
        <v>26</v>
      </c>
      <c r="B27">
        <v>1</v>
      </c>
      <c r="I27">
        <v>26</v>
      </c>
      <c r="J27" t="s">
        <v>262</v>
      </c>
      <c r="K27" t="s">
        <v>265</v>
      </c>
      <c r="Q27" t="s">
        <v>265</v>
      </c>
      <c r="R27">
        <v>1</v>
      </c>
    </row>
    <row r="28" spans="1:18" x14ac:dyDescent="0.25">
      <c r="A28">
        <v>27</v>
      </c>
      <c r="B28">
        <v>2</v>
      </c>
      <c r="I28">
        <v>27</v>
      </c>
      <c r="J28" t="s">
        <v>262</v>
      </c>
      <c r="K28" t="s">
        <v>265</v>
      </c>
      <c r="Q28" t="s">
        <v>265</v>
      </c>
      <c r="R28">
        <v>2</v>
      </c>
    </row>
    <row r="29" spans="1:18" x14ac:dyDescent="0.25">
      <c r="A29">
        <v>28</v>
      </c>
      <c r="B29">
        <v>6</v>
      </c>
      <c r="I29">
        <v>28</v>
      </c>
      <c r="J29" t="s">
        <v>261</v>
      </c>
      <c r="K29" t="s">
        <v>265</v>
      </c>
      <c r="Q29" t="s">
        <v>265</v>
      </c>
      <c r="R29">
        <v>6</v>
      </c>
    </row>
    <row r="30" spans="1:18" x14ac:dyDescent="0.25">
      <c r="A30">
        <v>29</v>
      </c>
      <c r="B30">
        <v>6</v>
      </c>
      <c r="I30">
        <v>29</v>
      </c>
      <c r="J30" t="s">
        <v>261</v>
      </c>
      <c r="K30" t="s">
        <v>264</v>
      </c>
      <c r="Q30" t="s">
        <v>264</v>
      </c>
      <c r="R30">
        <v>6</v>
      </c>
    </row>
    <row r="31" spans="1:18" x14ac:dyDescent="0.25">
      <c r="A31">
        <v>30</v>
      </c>
      <c r="B31">
        <v>1</v>
      </c>
      <c r="I31">
        <v>30</v>
      </c>
      <c r="J31" t="s">
        <v>262</v>
      </c>
      <c r="K31" t="s">
        <v>264</v>
      </c>
      <c r="Q31" t="s">
        <v>264</v>
      </c>
      <c r="R31">
        <v>1</v>
      </c>
    </row>
    <row r="32" spans="1:18" x14ac:dyDescent="0.25">
      <c r="A32">
        <v>31</v>
      </c>
      <c r="B32">
        <v>4</v>
      </c>
      <c r="I32">
        <v>31</v>
      </c>
      <c r="J32" t="s">
        <v>262</v>
      </c>
      <c r="K32" t="s">
        <v>265</v>
      </c>
      <c r="Q32" t="s">
        <v>265</v>
      </c>
      <c r="R32">
        <v>4</v>
      </c>
    </row>
    <row r="33" spans="1:18" x14ac:dyDescent="0.25">
      <c r="A33">
        <v>32</v>
      </c>
      <c r="B33">
        <v>6</v>
      </c>
      <c r="I33">
        <v>32</v>
      </c>
      <c r="J33" t="s">
        <v>261</v>
      </c>
      <c r="K33" t="s">
        <v>265</v>
      </c>
      <c r="Q33" t="s">
        <v>265</v>
      </c>
      <c r="R33">
        <v>6</v>
      </c>
    </row>
    <row r="34" spans="1:18" x14ac:dyDescent="0.25">
      <c r="A34">
        <v>33</v>
      </c>
      <c r="B34">
        <v>3</v>
      </c>
      <c r="I34">
        <v>33</v>
      </c>
      <c r="J34" t="s">
        <v>262</v>
      </c>
      <c r="K34" t="s">
        <v>265</v>
      </c>
      <c r="Q34" t="s">
        <v>265</v>
      </c>
      <c r="R34">
        <v>3</v>
      </c>
    </row>
    <row r="35" spans="1:18" x14ac:dyDescent="0.25">
      <c r="A35">
        <v>34</v>
      </c>
      <c r="B35">
        <v>5</v>
      </c>
      <c r="I35">
        <v>34</v>
      </c>
      <c r="J35" t="s">
        <v>261</v>
      </c>
      <c r="K35" t="s">
        <v>264</v>
      </c>
      <c r="Q35" t="s">
        <v>264</v>
      </c>
      <c r="R35">
        <v>5</v>
      </c>
    </row>
    <row r="36" spans="1:18" x14ac:dyDescent="0.25">
      <c r="A36">
        <v>35</v>
      </c>
      <c r="B36">
        <v>2</v>
      </c>
      <c r="I36">
        <v>35</v>
      </c>
      <c r="J36" t="s">
        <v>262</v>
      </c>
      <c r="K36" t="s">
        <v>265</v>
      </c>
      <c r="Q36" t="s">
        <v>265</v>
      </c>
      <c r="R36">
        <v>2</v>
      </c>
    </row>
    <row r="37" spans="1:18" x14ac:dyDescent="0.25">
      <c r="A37">
        <v>36</v>
      </c>
      <c r="B37">
        <v>6</v>
      </c>
      <c r="I37">
        <v>36</v>
      </c>
      <c r="J37" t="s">
        <v>261</v>
      </c>
      <c r="K37" t="s">
        <v>265</v>
      </c>
      <c r="Q37" t="s">
        <v>265</v>
      </c>
      <c r="R37">
        <v>6</v>
      </c>
    </row>
    <row r="38" spans="1:18" x14ac:dyDescent="0.25">
      <c r="A38">
        <v>37</v>
      </c>
      <c r="B38">
        <v>2</v>
      </c>
      <c r="I38">
        <v>37</v>
      </c>
      <c r="J38" t="s">
        <v>261</v>
      </c>
      <c r="K38" t="s">
        <v>264</v>
      </c>
      <c r="Q38" t="s">
        <v>264</v>
      </c>
      <c r="R38">
        <v>2</v>
      </c>
    </row>
    <row r="39" spans="1:18" x14ac:dyDescent="0.25">
      <c r="A39">
        <v>38</v>
      </c>
      <c r="B39">
        <v>2</v>
      </c>
      <c r="I39">
        <v>38</v>
      </c>
      <c r="J39" t="s">
        <v>262</v>
      </c>
      <c r="K39" t="s">
        <v>265</v>
      </c>
      <c r="Q39" t="s">
        <v>265</v>
      </c>
      <c r="R39">
        <v>2</v>
      </c>
    </row>
    <row r="40" spans="1:18" x14ac:dyDescent="0.25">
      <c r="A40">
        <v>39</v>
      </c>
      <c r="B40">
        <v>2</v>
      </c>
      <c r="I40">
        <v>39</v>
      </c>
      <c r="J40" t="s">
        <v>261</v>
      </c>
      <c r="K40" t="s">
        <v>265</v>
      </c>
      <c r="Q40" t="s">
        <v>265</v>
      </c>
      <c r="R40">
        <v>2</v>
      </c>
    </row>
    <row r="41" spans="1:18" x14ac:dyDescent="0.25">
      <c r="A41">
        <v>40</v>
      </c>
      <c r="B41">
        <v>3</v>
      </c>
      <c r="I41">
        <v>40</v>
      </c>
      <c r="J41" t="s">
        <v>261</v>
      </c>
      <c r="K41" t="s">
        <v>264</v>
      </c>
      <c r="Q41" t="s">
        <v>264</v>
      </c>
      <c r="R41">
        <v>3</v>
      </c>
    </row>
    <row r="42" spans="1:18" x14ac:dyDescent="0.25">
      <c r="A42">
        <v>41</v>
      </c>
      <c r="B42">
        <v>2</v>
      </c>
      <c r="I42">
        <v>41</v>
      </c>
      <c r="J42" t="s">
        <v>262</v>
      </c>
      <c r="K42" t="s">
        <v>264</v>
      </c>
      <c r="Q42" t="s">
        <v>264</v>
      </c>
      <c r="R42">
        <v>2</v>
      </c>
    </row>
    <row r="43" spans="1:18" x14ac:dyDescent="0.25">
      <c r="A43">
        <v>42</v>
      </c>
      <c r="B43">
        <v>1</v>
      </c>
      <c r="I43">
        <v>42</v>
      </c>
      <c r="J43" t="s">
        <v>261</v>
      </c>
      <c r="K43" t="s">
        <v>264</v>
      </c>
      <c r="Q43" t="s">
        <v>264</v>
      </c>
      <c r="R43">
        <v>1</v>
      </c>
    </row>
    <row r="44" spans="1:18" x14ac:dyDescent="0.25">
      <c r="A44">
        <v>43</v>
      </c>
      <c r="B44">
        <v>6</v>
      </c>
      <c r="I44">
        <v>43</v>
      </c>
      <c r="J44" t="s">
        <v>261</v>
      </c>
      <c r="K44" t="s">
        <v>264</v>
      </c>
      <c r="Q44" t="s">
        <v>264</v>
      </c>
      <c r="R44">
        <v>6</v>
      </c>
    </row>
    <row r="45" spans="1:18" x14ac:dyDescent="0.25">
      <c r="A45">
        <v>44</v>
      </c>
      <c r="B45">
        <v>5</v>
      </c>
      <c r="I45">
        <v>44</v>
      </c>
      <c r="J45" t="s">
        <v>261</v>
      </c>
      <c r="K45" t="s">
        <v>264</v>
      </c>
      <c r="Q45" t="s">
        <v>264</v>
      </c>
      <c r="R45">
        <v>5</v>
      </c>
    </row>
    <row r="46" spans="1:18" x14ac:dyDescent="0.25">
      <c r="A46">
        <v>45</v>
      </c>
      <c r="B46">
        <v>2</v>
      </c>
      <c r="I46">
        <v>45</v>
      </c>
      <c r="J46" t="s">
        <v>262</v>
      </c>
      <c r="K46" t="s">
        <v>264</v>
      </c>
      <c r="Q46" t="s">
        <v>264</v>
      </c>
      <c r="R46">
        <v>2</v>
      </c>
    </row>
    <row r="47" spans="1:18" x14ac:dyDescent="0.25">
      <c r="A47">
        <v>46</v>
      </c>
      <c r="B47">
        <v>2</v>
      </c>
      <c r="I47">
        <v>46</v>
      </c>
      <c r="J47" t="s">
        <v>262</v>
      </c>
      <c r="K47" t="s">
        <v>264</v>
      </c>
      <c r="Q47" t="s">
        <v>264</v>
      </c>
      <c r="R47">
        <v>2</v>
      </c>
    </row>
    <row r="48" spans="1:18" x14ac:dyDescent="0.25">
      <c r="A48">
        <v>47</v>
      </c>
      <c r="B48">
        <v>3</v>
      </c>
      <c r="I48">
        <v>47</v>
      </c>
      <c r="J48" t="s">
        <v>261</v>
      </c>
      <c r="K48" t="s">
        <v>264</v>
      </c>
      <c r="Q48" t="s">
        <v>264</v>
      </c>
      <c r="R48">
        <v>3</v>
      </c>
    </row>
    <row r="49" spans="1:18" x14ac:dyDescent="0.25">
      <c r="A49">
        <v>48</v>
      </c>
      <c r="B49">
        <v>6</v>
      </c>
      <c r="I49">
        <v>48</v>
      </c>
      <c r="J49" t="s">
        <v>262</v>
      </c>
      <c r="K49" t="s">
        <v>265</v>
      </c>
      <c r="Q49" t="s">
        <v>265</v>
      </c>
      <c r="R49">
        <v>6</v>
      </c>
    </row>
    <row r="50" spans="1:18" x14ac:dyDescent="0.25">
      <c r="A50">
        <v>49</v>
      </c>
      <c r="B50">
        <v>2</v>
      </c>
      <c r="I50">
        <v>49</v>
      </c>
      <c r="J50" t="s">
        <v>261</v>
      </c>
      <c r="K50" t="s">
        <v>264</v>
      </c>
      <c r="Q50" t="s">
        <v>264</v>
      </c>
      <c r="R50">
        <v>2</v>
      </c>
    </row>
    <row r="51" spans="1:18" x14ac:dyDescent="0.25">
      <c r="A51">
        <v>50</v>
      </c>
      <c r="B51">
        <v>2</v>
      </c>
      <c r="I51">
        <v>50</v>
      </c>
      <c r="J51" t="s">
        <v>261</v>
      </c>
      <c r="K51" t="s">
        <v>265</v>
      </c>
      <c r="Q51" t="s">
        <v>265</v>
      </c>
      <c r="R51">
        <v>2</v>
      </c>
    </row>
    <row r="52" spans="1:18" x14ac:dyDescent="0.25">
      <c r="A52">
        <v>51</v>
      </c>
      <c r="B52">
        <v>5</v>
      </c>
      <c r="I52">
        <v>51</v>
      </c>
      <c r="J52" t="s">
        <v>262</v>
      </c>
      <c r="K52" t="s">
        <v>265</v>
      </c>
      <c r="Q52" t="s">
        <v>265</v>
      </c>
      <c r="R52">
        <v>5</v>
      </c>
    </row>
    <row r="53" spans="1:18" x14ac:dyDescent="0.25">
      <c r="A53">
        <v>52</v>
      </c>
      <c r="B53">
        <v>6</v>
      </c>
      <c r="I53">
        <v>52</v>
      </c>
      <c r="J53" t="s">
        <v>261</v>
      </c>
      <c r="K53" t="s">
        <v>264</v>
      </c>
      <c r="Q53" t="s">
        <v>264</v>
      </c>
      <c r="R53">
        <v>6</v>
      </c>
    </row>
    <row r="54" spans="1:18" x14ac:dyDescent="0.25">
      <c r="A54">
        <v>53</v>
      </c>
      <c r="B54">
        <v>5</v>
      </c>
      <c r="I54">
        <v>53</v>
      </c>
      <c r="J54" t="s">
        <v>261</v>
      </c>
      <c r="K54" t="s">
        <v>265</v>
      </c>
      <c r="Q54" t="s">
        <v>265</v>
      </c>
      <c r="R54">
        <v>5</v>
      </c>
    </row>
    <row r="55" spans="1:18" x14ac:dyDescent="0.25">
      <c r="A55">
        <v>54</v>
      </c>
      <c r="B55">
        <v>6</v>
      </c>
      <c r="I55">
        <v>54</v>
      </c>
      <c r="J55" t="s">
        <v>261</v>
      </c>
      <c r="K55" t="s">
        <v>264</v>
      </c>
      <c r="Q55" t="s">
        <v>264</v>
      </c>
      <c r="R55">
        <v>6</v>
      </c>
    </row>
    <row r="56" spans="1:18" x14ac:dyDescent="0.25">
      <c r="A56">
        <v>55</v>
      </c>
      <c r="B56">
        <v>1</v>
      </c>
      <c r="I56">
        <v>55</v>
      </c>
      <c r="J56" t="s">
        <v>261</v>
      </c>
      <c r="K56" t="s">
        <v>265</v>
      </c>
      <c r="Q56" t="s">
        <v>265</v>
      </c>
      <c r="R56">
        <v>1</v>
      </c>
    </row>
    <row r="57" spans="1:18" x14ac:dyDescent="0.25">
      <c r="A57">
        <v>56</v>
      </c>
      <c r="B57">
        <v>6</v>
      </c>
      <c r="I57">
        <v>56</v>
      </c>
      <c r="J57" t="s">
        <v>262</v>
      </c>
      <c r="K57" t="s">
        <v>264</v>
      </c>
      <c r="Q57" t="s">
        <v>264</v>
      </c>
      <c r="R57">
        <v>6</v>
      </c>
    </row>
    <row r="58" spans="1:18" x14ac:dyDescent="0.25">
      <c r="A58">
        <v>57</v>
      </c>
      <c r="B58">
        <v>6</v>
      </c>
      <c r="I58">
        <v>57</v>
      </c>
      <c r="J58" t="s">
        <v>261</v>
      </c>
      <c r="K58" t="s">
        <v>264</v>
      </c>
      <c r="Q58" t="s">
        <v>264</v>
      </c>
      <c r="R58">
        <v>6</v>
      </c>
    </row>
    <row r="59" spans="1:18" x14ac:dyDescent="0.25">
      <c r="A59">
        <v>58</v>
      </c>
      <c r="B59">
        <v>6</v>
      </c>
      <c r="I59">
        <v>58</v>
      </c>
      <c r="J59" t="s">
        <v>261</v>
      </c>
      <c r="K59" t="s">
        <v>265</v>
      </c>
      <c r="Q59" t="s">
        <v>265</v>
      </c>
      <c r="R59">
        <v>6</v>
      </c>
    </row>
    <row r="60" spans="1:18" x14ac:dyDescent="0.25">
      <c r="A60">
        <v>59</v>
      </c>
      <c r="B60">
        <v>1</v>
      </c>
      <c r="I60">
        <v>59</v>
      </c>
      <c r="J60" t="s">
        <v>261</v>
      </c>
      <c r="K60" t="s">
        <v>265</v>
      </c>
      <c r="Q60" t="s">
        <v>265</v>
      </c>
      <c r="R60">
        <v>1</v>
      </c>
    </row>
    <row r="61" spans="1:18" x14ac:dyDescent="0.25">
      <c r="A61">
        <v>60</v>
      </c>
      <c r="B61">
        <v>2</v>
      </c>
      <c r="I61">
        <v>60</v>
      </c>
      <c r="J61" t="s">
        <v>262</v>
      </c>
      <c r="K61" t="s">
        <v>265</v>
      </c>
      <c r="Q61" t="s">
        <v>265</v>
      </c>
      <c r="R61">
        <v>2</v>
      </c>
    </row>
    <row r="62" spans="1:18" x14ac:dyDescent="0.25">
      <c r="A62">
        <v>61</v>
      </c>
      <c r="B62">
        <v>1</v>
      </c>
      <c r="I62">
        <v>61</v>
      </c>
      <c r="J62" t="s">
        <v>262</v>
      </c>
      <c r="K62" t="s">
        <v>264</v>
      </c>
      <c r="Q62" t="s">
        <v>264</v>
      </c>
      <c r="R62">
        <v>1</v>
      </c>
    </row>
    <row r="63" spans="1:18" x14ac:dyDescent="0.25">
      <c r="A63">
        <v>62</v>
      </c>
      <c r="B63">
        <v>6</v>
      </c>
      <c r="I63">
        <v>62</v>
      </c>
      <c r="J63" t="s">
        <v>261</v>
      </c>
      <c r="K63" t="s">
        <v>265</v>
      </c>
      <c r="Q63" t="s">
        <v>265</v>
      </c>
      <c r="R63">
        <v>6</v>
      </c>
    </row>
    <row r="64" spans="1:18" x14ac:dyDescent="0.25">
      <c r="A64">
        <v>63</v>
      </c>
      <c r="B64">
        <v>5</v>
      </c>
      <c r="I64">
        <v>63</v>
      </c>
      <c r="J64" t="s">
        <v>262</v>
      </c>
      <c r="K64" t="s">
        <v>264</v>
      </c>
      <c r="Q64" t="s">
        <v>264</v>
      </c>
      <c r="R64">
        <v>5</v>
      </c>
    </row>
    <row r="65" spans="1:18" x14ac:dyDescent="0.25">
      <c r="A65">
        <v>64</v>
      </c>
      <c r="B65">
        <v>1</v>
      </c>
      <c r="I65">
        <v>64</v>
      </c>
      <c r="J65" t="s">
        <v>262</v>
      </c>
      <c r="K65" t="s">
        <v>265</v>
      </c>
      <c r="Q65" t="s">
        <v>265</v>
      </c>
      <c r="R65">
        <v>1</v>
      </c>
    </row>
    <row r="66" spans="1:18" x14ac:dyDescent="0.25">
      <c r="A66">
        <v>65</v>
      </c>
      <c r="B66">
        <v>1</v>
      </c>
      <c r="I66">
        <v>65</v>
      </c>
      <c r="J66" t="s">
        <v>262</v>
      </c>
      <c r="K66" t="s">
        <v>264</v>
      </c>
      <c r="Q66" t="s">
        <v>264</v>
      </c>
      <c r="R66">
        <v>1</v>
      </c>
    </row>
    <row r="67" spans="1:18" x14ac:dyDescent="0.25">
      <c r="A67">
        <v>66</v>
      </c>
      <c r="B67">
        <v>4</v>
      </c>
      <c r="I67">
        <v>66</v>
      </c>
      <c r="J67" t="s">
        <v>261</v>
      </c>
      <c r="K67" t="s">
        <v>265</v>
      </c>
      <c r="Q67" t="s">
        <v>265</v>
      </c>
      <c r="R67">
        <v>4</v>
      </c>
    </row>
    <row r="68" spans="1:18" x14ac:dyDescent="0.25">
      <c r="A68">
        <v>67</v>
      </c>
      <c r="B68">
        <v>5</v>
      </c>
      <c r="I68">
        <v>67</v>
      </c>
      <c r="J68" t="s">
        <v>261</v>
      </c>
      <c r="K68" t="s">
        <v>265</v>
      </c>
      <c r="Q68" t="s">
        <v>265</v>
      </c>
      <c r="R68">
        <v>5</v>
      </c>
    </row>
    <row r="69" spans="1:18" x14ac:dyDescent="0.25">
      <c r="A69">
        <v>68</v>
      </c>
      <c r="B69">
        <v>1</v>
      </c>
      <c r="I69">
        <v>68</v>
      </c>
      <c r="J69" t="s">
        <v>262</v>
      </c>
      <c r="K69" t="s">
        <v>264</v>
      </c>
      <c r="Q69" t="s">
        <v>264</v>
      </c>
      <c r="R69">
        <v>1</v>
      </c>
    </row>
    <row r="70" spans="1:18" x14ac:dyDescent="0.25">
      <c r="A70">
        <v>69</v>
      </c>
      <c r="B70">
        <v>2</v>
      </c>
      <c r="I70">
        <v>69</v>
      </c>
      <c r="J70" t="s">
        <v>261</v>
      </c>
      <c r="K70" t="s">
        <v>265</v>
      </c>
      <c r="Q70" t="s">
        <v>265</v>
      </c>
      <c r="R70">
        <v>2</v>
      </c>
    </row>
    <row r="71" spans="1:18" x14ac:dyDescent="0.25">
      <c r="A71">
        <v>70</v>
      </c>
      <c r="B71">
        <v>2</v>
      </c>
      <c r="I71">
        <v>70</v>
      </c>
      <c r="J71" t="s">
        <v>261</v>
      </c>
      <c r="K71" t="s">
        <v>264</v>
      </c>
      <c r="Q71" t="s">
        <v>264</v>
      </c>
      <c r="R71">
        <v>2</v>
      </c>
    </row>
    <row r="72" spans="1:18" x14ac:dyDescent="0.25">
      <c r="A72">
        <v>71</v>
      </c>
      <c r="B72">
        <v>2</v>
      </c>
      <c r="I72">
        <v>71</v>
      </c>
      <c r="J72" t="s">
        <v>261</v>
      </c>
      <c r="K72" t="s">
        <v>264</v>
      </c>
      <c r="Q72" t="s">
        <v>264</v>
      </c>
      <c r="R72">
        <v>2</v>
      </c>
    </row>
    <row r="73" spans="1:18" x14ac:dyDescent="0.25">
      <c r="A73">
        <v>72</v>
      </c>
      <c r="B73">
        <v>1</v>
      </c>
      <c r="I73">
        <v>72</v>
      </c>
      <c r="J73" t="s">
        <v>261</v>
      </c>
      <c r="K73" t="s">
        <v>264</v>
      </c>
      <c r="Q73" t="s">
        <v>264</v>
      </c>
      <c r="R73">
        <v>1</v>
      </c>
    </row>
    <row r="74" spans="1:18" x14ac:dyDescent="0.25">
      <c r="A74">
        <v>73</v>
      </c>
      <c r="B74">
        <v>3</v>
      </c>
      <c r="I74">
        <v>73</v>
      </c>
      <c r="J74" t="s">
        <v>262</v>
      </c>
      <c r="K74" t="s">
        <v>264</v>
      </c>
      <c r="Q74" t="s">
        <v>264</v>
      </c>
      <c r="R74">
        <v>3</v>
      </c>
    </row>
    <row r="75" spans="1:18" x14ac:dyDescent="0.25">
      <c r="A75">
        <v>74</v>
      </c>
      <c r="B75">
        <v>2</v>
      </c>
      <c r="I75">
        <v>74</v>
      </c>
      <c r="J75" t="s">
        <v>262</v>
      </c>
      <c r="K75" t="s">
        <v>264</v>
      </c>
      <c r="Q75" t="s">
        <v>264</v>
      </c>
      <c r="R75">
        <v>2</v>
      </c>
    </row>
    <row r="76" spans="1:18" x14ac:dyDescent="0.25">
      <c r="A76">
        <v>75</v>
      </c>
      <c r="B76">
        <v>3</v>
      </c>
      <c r="I76">
        <v>75</v>
      </c>
      <c r="J76" t="s">
        <v>262</v>
      </c>
      <c r="K76" t="s">
        <v>264</v>
      </c>
      <c r="Q76" t="s">
        <v>264</v>
      </c>
      <c r="R76">
        <v>3</v>
      </c>
    </row>
    <row r="77" spans="1:18" x14ac:dyDescent="0.25">
      <c r="A77">
        <v>76</v>
      </c>
      <c r="B77">
        <v>5</v>
      </c>
      <c r="I77">
        <v>76</v>
      </c>
      <c r="J77" t="s">
        <v>261</v>
      </c>
      <c r="K77" t="s">
        <v>264</v>
      </c>
      <c r="Q77" t="s">
        <v>264</v>
      </c>
      <c r="R77">
        <v>5</v>
      </c>
    </row>
    <row r="78" spans="1:18" x14ac:dyDescent="0.25">
      <c r="A78">
        <v>77</v>
      </c>
      <c r="B78">
        <v>4</v>
      </c>
      <c r="I78">
        <v>77</v>
      </c>
      <c r="J78" t="s">
        <v>261</v>
      </c>
      <c r="K78" t="s">
        <v>264</v>
      </c>
      <c r="Q78" t="s">
        <v>264</v>
      </c>
      <c r="R78">
        <v>4</v>
      </c>
    </row>
    <row r="79" spans="1:18" x14ac:dyDescent="0.25">
      <c r="A79">
        <v>78</v>
      </c>
      <c r="B79">
        <v>5</v>
      </c>
      <c r="I79">
        <v>78</v>
      </c>
      <c r="J79" t="s">
        <v>262</v>
      </c>
      <c r="K79" t="s">
        <v>264</v>
      </c>
      <c r="Q79" t="s">
        <v>264</v>
      </c>
      <c r="R79">
        <v>5</v>
      </c>
    </row>
    <row r="80" spans="1:18" x14ac:dyDescent="0.25">
      <c r="A80">
        <v>79</v>
      </c>
      <c r="B80">
        <v>3</v>
      </c>
      <c r="I80">
        <v>79</v>
      </c>
      <c r="J80" t="s">
        <v>261</v>
      </c>
      <c r="K80" t="s">
        <v>265</v>
      </c>
      <c r="Q80" t="s">
        <v>265</v>
      </c>
      <c r="R80">
        <v>3</v>
      </c>
    </row>
    <row r="81" spans="1:18" x14ac:dyDescent="0.25">
      <c r="A81">
        <v>80</v>
      </c>
      <c r="B81">
        <v>5</v>
      </c>
      <c r="I81">
        <v>80</v>
      </c>
      <c r="J81" t="s">
        <v>261</v>
      </c>
      <c r="K81" t="s">
        <v>265</v>
      </c>
      <c r="Q81" t="s">
        <v>265</v>
      </c>
      <c r="R81">
        <v>5</v>
      </c>
    </row>
    <row r="82" spans="1:18" x14ac:dyDescent="0.25">
      <c r="A82">
        <v>81</v>
      </c>
      <c r="B82">
        <v>6</v>
      </c>
      <c r="I82">
        <v>81</v>
      </c>
      <c r="J82" t="s">
        <v>261</v>
      </c>
      <c r="K82" t="s">
        <v>264</v>
      </c>
      <c r="Q82" t="s">
        <v>264</v>
      </c>
      <c r="R82">
        <v>6</v>
      </c>
    </row>
    <row r="83" spans="1:18" x14ac:dyDescent="0.25">
      <c r="A83">
        <v>82</v>
      </c>
      <c r="B83">
        <v>5</v>
      </c>
      <c r="I83">
        <v>82</v>
      </c>
      <c r="J83" t="s">
        <v>261</v>
      </c>
      <c r="K83" t="s">
        <v>264</v>
      </c>
      <c r="Q83" t="s">
        <v>264</v>
      </c>
      <c r="R83">
        <v>5</v>
      </c>
    </row>
    <row r="84" spans="1:18" x14ac:dyDescent="0.25">
      <c r="A84">
        <v>83</v>
      </c>
      <c r="B84">
        <v>6</v>
      </c>
      <c r="I84">
        <v>83</v>
      </c>
      <c r="J84" t="s">
        <v>261</v>
      </c>
      <c r="K84" t="s">
        <v>265</v>
      </c>
      <c r="Q84" t="s">
        <v>265</v>
      </c>
      <c r="R84">
        <v>6</v>
      </c>
    </row>
    <row r="85" spans="1:18" x14ac:dyDescent="0.25">
      <c r="A85">
        <v>84</v>
      </c>
      <c r="B85">
        <v>1</v>
      </c>
      <c r="I85">
        <v>84</v>
      </c>
      <c r="J85" t="s">
        <v>262</v>
      </c>
      <c r="K85" t="s">
        <v>265</v>
      </c>
      <c r="Q85" t="s">
        <v>265</v>
      </c>
      <c r="R85">
        <v>1</v>
      </c>
    </row>
    <row r="86" spans="1:18" x14ac:dyDescent="0.25">
      <c r="A86">
        <v>85</v>
      </c>
      <c r="B86">
        <v>3</v>
      </c>
      <c r="I86">
        <v>85</v>
      </c>
      <c r="J86" t="s">
        <v>261</v>
      </c>
      <c r="K86" t="s">
        <v>264</v>
      </c>
      <c r="Q86" t="s">
        <v>264</v>
      </c>
      <c r="R86">
        <v>3</v>
      </c>
    </row>
    <row r="87" spans="1:18" x14ac:dyDescent="0.25">
      <c r="A87">
        <v>86</v>
      </c>
      <c r="B87">
        <v>3</v>
      </c>
      <c r="I87">
        <v>86</v>
      </c>
      <c r="J87" t="s">
        <v>262</v>
      </c>
      <c r="K87" t="s">
        <v>265</v>
      </c>
      <c r="Q87" t="s">
        <v>265</v>
      </c>
      <c r="R87">
        <v>3</v>
      </c>
    </row>
    <row r="88" spans="1:18" x14ac:dyDescent="0.25">
      <c r="A88">
        <v>87</v>
      </c>
      <c r="B88">
        <v>6</v>
      </c>
      <c r="I88">
        <v>87</v>
      </c>
      <c r="J88" t="s">
        <v>261</v>
      </c>
      <c r="K88" t="s">
        <v>265</v>
      </c>
      <c r="Q88" t="s">
        <v>265</v>
      </c>
      <c r="R88">
        <v>6</v>
      </c>
    </row>
    <row r="89" spans="1:18" x14ac:dyDescent="0.25">
      <c r="A89">
        <v>88</v>
      </c>
      <c r="B89">
        <v>6</v>
      </c>
      <c r="I89">
        <v>88</v>
      </c>
      <c r="J89" t="s">
        <v>262</v>
      </c>
      <c r="K89" t="s">
        <v>265</v>
      </c>
      <c r="Q89" t="s">
        <v>265</v>
      </c>
      <c r="R89">
        <v>6</v>
      </c>
    </row>
    <row r="90" spans="1:18" x14ac:dyDescent="0.25">
      <c r="A90">
        <v>89</v>
      </c>
      <c r="B90">
        <v>4</v>
      </c>
      <c r="I90">
        <v>89</v>
      </c>
      <c r="J90" t="s">
        <v>261</v>
      </c>
      <c r="K90" t="s">
        <v>264</v>
      </c>
      <c r="Q90" t="s">
        <v>264</v>
      </c>
      <c r="R90">
        <v>4</v>
      </c>
    </row>
    <row r="91" spans="1:18" x14ac:dyDescent="0.25">
      <c r="A91">
        <v>90</v>
      </c>
      <c r="B91">
        <v>3</v>
      </c>
      <c r="I91">
        <v>90</v>
      </c>
      <c r="J91" t="s">
        <v>261</v>
      </c>
      <c r="K91" t="s">
        <v>264</v>
      </c>
      <c r="Q91" t="s">
        <v>264</v>
      </c>
      <c r="R91">
        <v>3</v>
      </c>
    </row>
    <row r="92" spans="1:18" x14ac:dyDescent="0.25">
      <c r="A92">
        <v>91</v>
      </c>
      <c r="B92">
        <v>3</v>
      </c>
      <c r="I92">
        <v>91</v>
      </c>
      <c r="J92" t="s">
        <v>262</v>
      </c>
      <c r="K92" t="s">
        <v>265</v>
      </c>
      <c r="Q92" t="s">
        <v>265</v>
      </c>
      <c r="R92">
        <v>3</v>
      </c>
    </row>
    <row r="93" spans="1:18" x14ac:dyDescent="0.25">
      <c r="A93">
        <v>92</v>
      </c>
      <c r="B93">
        <v>4</v>
      </c>
      <c r="I93">
        <v>92</v>
      </c>
      <c r="J93" t="s">
        <v>261</v>
      </c>
      <c r="K93" t="s">
        <v>264</v>
      </c>
      <c r="Q93" t="s">
        <v>264</v>
      </c>
      <c r="R93">
        <v>4</v>
      </c>
    </row>
    <row r="94" spans="1:18" x14ac:dyDescent="0.25">
      <c r="A94">
        <v>93</v>
      </c>
      <c r="B94">
        <v>5</v>
      </c>
      <c r="I94">
        <v>93</v>
      </c>
      <c r="J94" t="s">
        <v>261</v>
      </c>
      <c r="K94" t="s">
        <v>265</v>
      </c>
      <c r="Q94" t="s">
        <v>265</v>
      </c>
      <c r="R94">
        <v>5</v>
      </c>
    </row>
    <row r="95" spans="1:18" x14ac:dyDescent="0.25">
      <c r="A95">
        <v>94</v>
      </c>
      <c r="B95">
        <v>4</v>
      </c>
      <c r="I95">
        <v>94</v>
      </c>
      <c r="J95" t="s">
        <v>262</v>
      </c>
      <c r="K95" t="s">
        <v>265</v>
      </c>
      <c r="Q95" t="s">
        <v>265</v>
      </c>
      <c r="R95">
        <v>4</v>
      </c>
    </row>
    <row r="96" spans="1:18" x14ac:dyDescent="0.25">
      <c r="A96">
        <v>95</v>
      </c>
      <c r="B96">
        <v>1</v>
      </c>
      <c r="I96">
        <v>95</v>
      </c>
      <c r="J96" t="s">
        <v>262</v>
      </c>
      <c r="K96" t="s">
        <v>265</v>
      </c>
      <c r="Q96" t="s">
        <v>265</v>
      </c>
      <c r="R96">
        <v>1</v>
      </c>
    </row>
    <row r="97" spans="1:18" x14ac:dyDescent="0.25">
      <c r="A97">
        <v>96</v>
      </c>
      <c r="B97">
        <v>1</v>
      </c>
      <c r="I97">
        <v>96</v>
      </c>
      <c r="J97" t="s">
        <v>262</v>
      </c>
      <c r="K97" t="s">
        <v>265</v>
      </c>
      <c r="Q97" t="s">
        <v>265</v>
      </c>
      <c r="R97">
        <v>1</v>
      </c>
    </row>
    <row r="98" spans="1:18" x14ac:dyDescent="0.25">
      <c r="A98">
        <v>97</v>
      </c>
      <c r="B98">
        <v>2</v>
      </c>
      <c r="I98">
        <v>97</v>
      </c>
      <c r="J98" t="s">
        <v>261</v>
      </c>
      <c r="K98" t="s">
        <v>264</v>
      </c>
      <c r="Q98" t="s">
        <v>264</v>
      </c>
      <c r="R98">
        <v>2</v>
      </c>
    </row>
    <row r="99" spans="1:18" x14ac:dyDescent="0.25">
      <c r="A99">
        <v>98</v>
      </c>
      <c r="B99">
        <v>5</v>
      </c>
      <c r="I99">
        <v>98</v>
      </c>
      <c r="J99" t="s">
        <v>261</v>
      </c>
      <c r="K99" t="s">
        <v>265</v>
      </c>
      <c r="Q99" t="s">
        <v>265</v>
      </c>
      <c r="R99">
        <v>5</v>
      </c>
    </row>
    <row r="100" spans="1:18" x14ac:dyDescent="0.25">
      <c r="A100">
        <v>99</v>
      </c>
      <c r="B100">
        <v>1</v>
      </c>
      <c r="I100">
        <v>99</v>
      </c>
      <c r="J100" t="s">
        <v>261</v>
      </c>
      <c r="K100" t="s">
        <v>264</v>
      </c>
      <c r="Q100" t="s">
        <v>264</v>
      </c>
      <c r="R100">
        <v>1</v>
      </c>
    </row>
    <row r="101" spans="1:18" x14ac:dyDescent="0.25">
      <c r="A101">
        <v>100</v>
      </c>
      <c r="B101">
        <v>3</v>
      </c>
      <c r="I101">
        <v>100</v>
      </c>
      <c r="J101" t="s">
        <v>262</v>
      </c>
      <c r="K101" t="s">
        <v>265</v>
      </c>
      <c r="Q101" t="s">
        <v>265</v>
      </c>
      <c r="R10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0602-C0E6-4051-85BD-F67BB6E3ACB8}">
  <dimension ref="A1:D101"/>
  <sheetViews>
    <sheetView workbookViewId="0">
      <selection activeCell="H4" sqref="H4"/>
    </sheetView>
  </sheetViews>
  <sheetFormatPr defaultRowHeight="15" x14ac:dyDescent="0.25"/>
  <cols>
    <col min="1" max="1" width="10.85546875" customWidth="1"/>
    <col min="4" max="4" width="25.42578125" customWidth="1"/>
  </cols>
  <sheetData>
    <row r="1" spans="1:4" x14ac:dyDescent="0.25">
      <c r="A1" s="1" t="s">
        <v>258</v>
      </c>
      <c r="B1" s="1" t="s">
        <v>271</v>
      </c>
    </row>
    <row r="2" spans="1:4" x14ac:dyDescent="0.25">
      <c r="A2" cm="1">
        <f t="array" ref="A2:A101">_xlfn.SEQUENCE(100)</f>
        <v>1</v>
      </c>
      <c r="B2">
        <v>69</v>
      </c>
      <c r="D2" t="s">
        <v>272</v>
      </c>
    </row>
    <row r="3" spans="1:4" x14ac:dyDescent="0.25">
      <c r="A3">
        <v>2</v>
      </c>
      <c r="B3">
        <v>41</v>
      </c>
      <c r="D3">
        <f>COUNTIF(B2:B101,"&lt;=70")</f>
        <v>52</v>
      </c>
    </row>
    <row r="4" spans="1:4" x14ac:dyDescent="0.25">
      <c r="A4">
        <v>3</v>
      </c>
      <c r="B4">
        <v>68</v>
      </c>
      <c r="D4" t="s">
        <v>270</v>
      </c>
    </row>
    <row r="5" spans="1:4" x14ac:dyDescent="0.25">
      <c r="A5">
        <v>4</v>
      </c>
      <c r="B5">
        <v>68</v>
      </c>
      <c r="D5">
        <f>COUNTIF(B2:B101,"&lt;=70")/100</f>
        <v>0.52</v>
      </c>
    </row>
    <row r="6" spans="1:4" x14ac:dyDescent="0.25">
      <c r="A6">
        <v>5</v>
      </c>
      <c r="B6">
        <v>49</v>
      </c>
      <c r="D6" s="3">
        <f>COUNTIF(B2:B102,"&lt;=70")/100</f>
        <v>0.52</v>
      </c>
    </row>
    <row r="7" spans="1:4" x14ac:dyDescent="0.25">
      <c r="A7">
        <v>6</v>
      </c>
      <c r="B7">
        <v>67</v>
      </c>
    </row>
    <row r="8" spans="1:4" x14ac:dyDescent="0.25">
      <c r="A8">
        <v>7</v>
      </c>
      <c r="B8">
        <v>54</v>
      </c>
    </row>
    <row r="9" spans="1:4" x14ac:dyDescent="0.25">
      <c r="A9">
        <v>8</v>
      </c>
      <c r="B9">
        <v>93</v>
      </c>
    </row>
    <row r="10" spans="1:4" x14ac:dyDescent="0.25">
      <c r="A10">
        <v>9</v>
      </c>
      <c r="B10">
        <v>42</v>
      </c>
    </row>
    <row r="11" spans="1:4" x14ac:dyDescent="0.25">
      <c r="A11">
        <v>10</v>
      </c>
      <c r="B11">
        <v>52</v>
      </c>
    </row>
    <row r="12" spans="1:4" x14ac:dyDescent="0.25">
      <c r="A12">
        <v>11</v>
      </c>
      <c r="B12">
        <v>87</v>
      </c>
    </row>
    <row r="13" spans="1:4" x14ac:dyDescent="0.25">
      <c r="A13">
        <v>12</v>
      </c>
      <c r="B13">
        <v>90</v>
      </c>
    </row>
    <row r="14" spans="1:4" x14ac:dyDescent="0.25">
      <c r="A14">
        <v>13</v>
      </c>
      <c r="B14">
        <v>90</v>
      </c>
    </row>
    <row r="15" spans="1:4" x14ac:dyDescent="0.25">
      <c r="A15">
        <v>14</v>
      </c>
      <c r="B15">
        <v>62</v>
      </c>
    </row>
    <row r="16" spans="1:4" x14ac:dyDescent="0.25">
      <c r="A16">
        <v>15</v>
      </c>
      <c r="B16">
        <v>81</v>
      </c>
    </row>
    <row r="17" spans="1:2" x14ac:dyDescent="0.25">
      <c r="A17">
        <v>16</v>
      </c>
      <c r="B17">
        <v>46</v>
      </c>
    </row>
    <row r="18" spans="1:2" x14ac:dyDescent="0.25">
      <c r="A18">
        <v>17</v>
      </c>
      <c r="B18">
        <v>49</v>
      </c>
    </row>
    <row r="19" spans="1:2" x14ac:dyDescent="0.25">
      <c r="A19">
        <v>18</v>
      </c>
      <c r="B19">
        <v>71</v>
      </c>
    </row>
    <row r="20" spans="1:2" x14ac:dyDescent="0.25">
      <c r="A20">
        <v>19</v>
      </c>
      <c r="B20">
        <v>92</v>
      </c>
    </row>
    <row r="21" spans="1:2" x14ac:dyDescent="0.25">
      <c r="A21">
        <v>20</v>
      </c>
      <c r="B21">
        <v>66</v>
      </c>
    </row>
    <row r="22" spans="1:2" x14ac:dyDescent="0.25">
      <c r="A22">
        <v>21</v>
      </c>
      <c r="B22">
        <v>69</v>
      </c>
    </row>
    <row r="23" spans="1:2" x14ac:dyDescent="0.25">
      <c r="A23">
        <v>22</v>
      </c>
      <c r="B23">
        <v>58</v>
      </c>
    </row>
    <row r="24" spans="1:2" x14ac:dyDescent="0.25">
      <c r="A24">
        <v>23</v>
      </c>
      <c r="B24">
        <v>83</v>
      </c>
    </row>
    <row r="25" spans="1:2" x14ac:dyDescent="0.25">
      <c r="A25">
        <v>24</v>
      </c>
      <c r="B25">
        <v>41</v>
      </c>
    </row>
    <row r="26" spans="1:2" x14ac:dyDescent="0.25">
      <c r="A26">
        <v>25</v>
      </c>
      <c r="B26">
        <v>91</v>
      </c>
    </row>
    <row r="27" spans="1:2" x14ac:dyDescent="0.25">
      <c r="A27">
        <v>26</v>
      </c>
      <c r="B27">
        <v>78</v>
      </c>
    </row>
    <row r="28" spans="1:2" x14ac:dyDescent="0.25">
      <c r="A28">
        <v>27</v>
      </c>
      <c r="B28">
        <v>74</v>
      </c>
    </row>
    <row r="29" spans="1:2" x14ac:dyDescent="0.25">
      <c r="A29">
        <v>28</v>
      </c>
      <c r="B29">
        <v>56</v>
      </c>
    </row>
    <row r="30" spans="1:2" x14ac:dyDescent="0.25">
      <c r="A30">
        <v>29</v>
      </c>
      <c r="B30">
        <v>48</v>
      </c>
    </row>
    <row r="31" spans="1:2" x14ac:dyDescent="0.25">
      <c r="A31">
        <v>30</v>
      </c>
      <c r="B31">
        <v>48</v>
      </c>
    </row>
    <row r="32" spans="1:2" x14ac:dyDescent="0.25">
      <c r="A32">
        <v>31</v>
      </c>
      <c r="B32">
        <v>62</v>
      </c>
    </row>
    <row r="33" spans="1:2" x14ac:dyDescent="0.25">
      <c r="A33">
        <v>32</v>
      </c>
      <c r="B33">
        <v>86</v>
      </c>
    </row>
    <row r="34" spans="1:2" x14ac:dyDescent="0.25">
      <c r="A34">
        <v>33</v>
      </c>
      <c r="B34">
        <v>44</v>
      </c>
    </row>
    <row r="35" spans="1:2" x14ac:dyDescent="0.25">
      <c r="A35">
        <v>34</v>
      </c>
      <c r="B35">
        <v>75</v>
      </c>
    </row>
    <row r="36" spans="1:2" x14ac:dyDescent="0.25">
      <c r="A36">
        <v>35</v>
      </c>
      <c r="B36">
        <v>58</v>
      </c>
    </row>
    <row r="37" spans="1:2" x14ac:dyDescent="0.25">
      <c r="A37">
        <v>36</v>
      </c>
      <c r="B37">
        <v>92</v>
      </c>
    </row>
    <row r="38" spans="1:2" x14ac:dyDescent="0.25">
      <c r="A38">
        <v>37</v>
      </c>
      <c r="B38">
        <v>87</v>
      </c>
    </row>
    <row r="39" spans="1:2" x14ac:dyDescent="0.25">
      <c r="A39">
        <v>38</v>
      </c>
      <c r="B39">
        <v>86</v>
      </c>
    </row>
    <row r="40" spans="1:2" x14ac:dyDescent="0.25">
      <c r="A40">
        <v>39</v>
      </c>
      <c r="B40">
        <v>87</v>
      </c>
    </row>
    <row r="41" spans="1:2" x14ac:dyDescent="0.25">
      <c r="A41">
        <v>40</v>
      </c>
      <c r="B41">
        <v>86</v>
      </c>
    </row>
    <row r="42" spans="1:2" x14ac:dyDescent="0.25">
      <c r="A42">
        <v>41</v>
      </c>
      <c r="B42">
        <v>88</v>
      </c>
    </row>
    <row r="43" spans="1:2" x14ac:dyDescent="0.25">
      <c r="A43">
        <v>42</v>
      </c>
      <c r="B43">
        <v>51</v>
      </c>
    </row>
    <row r="44" spans="1:2" x14ac:dyDescent="0.25">
      <c r="A44">
        <v>43</v>
      </c>
      <c r="B44">
        <v>49</v>
      </c>
    </row>
    <row r="45" spans="1:2" x14ac:dyDescent="0.25">
      <c r="A45">
        <v>44</v>
      </c>
      <c r="B45">
        <v>73</v>
      </c>
    </row>
    <row r="46" spans="1:2" x14ac:dyDescent="0.25">
      <c r="A46">
        <v>45</v>
      </c>
      <c r="B46">
        <v>80</v>
      </c>
    </row>
    <row r="47" spans="1:2" x14ac:dyDescent="0.25">
      <c r="A47">
        <v>46</v>
      </c>
      <c r="B47">
        <v>75</v>
      </c>
    </row>
    <row r="48" spans="1:2" x14ac:dyDescent="0.25">
      <c r="A48">
        <v>47</v>
      </c>
      <c r="B48">
        <v>92</v>
      </c>
    </row>
    <row r="49" spans="1:2" x14ac:dyDescent="0.25">
      <c r="A49">
        <v>48</v>
      </c>
      <c r="B49">
        <v>80</v>
      </c>
    </row>
    <row r="50" spans="1:2" x14ac:dyDescent="0.25">
      <c r="A50">
        <v>49</v>
      </c>
      <c r="B50">
        <v>46</v>
      </c>
    </row>
    <row r="51" spans="1:2" x14ac:dyDescent="0.25">
      <c r="A51">
        <v>50</v>
      </c>
      <c r="B51">
        <v>96</v>
      </c>
    </row>
    <row r="52" spans="1:2" x14ac:dyDescent="0.25">
      <c r="A52">
        <v>51</v>
      </c>
      <c r="B52">
        <v>54</v>
      </c>
    </row>
    <row r="53" spans="1:2" x14ac:dyDescent="0.25">
      <c r="A53">
        <v>52</v>
      </c>
      <c r="B53">
        <v>73</v>
      </c>
    </row>
    <row r="54" spans="1:2" x14ac:dyDescent="0.25">
      <c r="A54">
        <v>53</v>
      </c>
      <c r="B54">
        <v>73</v>
      </c>
    </row>
    <row r="55" spans="1:2" x14ac:dyDescent="0.25">
      <c r="A55">
        <v>54</v>
      </c>
      <c r="B55">
        <v>60</v>
      </c>
    </row>
    <row r="56" spans="1:2" x14ac:dyDescent="0.25">
      <c r="A56">
        <v>55</v>
      </c>
      <c r="B56">
        <v>50</v>
      </c>
    </row>
    <row r="57" spans="1:2" x14ac:dyDescent="0.25">
      <c r="A57">
        <v>56</v>
      </c>
      <c r="B57">
        <v>41</v>
      </c>
    </row>
    <row r="58" spans="1:2" x14ac:dyDescent="0.25">
      <c r="A58">
        <v>57</v>
      </c>
      <c r="B58">
        <v>69</v>
      </c>
    </row>
    <row r="59" spans="1:2" x14ac:dyDescent="0.25">
      <c r="A59">
        <v>58</v>
      </c>
      <c r="B59">
        <v>45</v>
      </c>
    </row>
    <row r="60" spans="1:2" x14ac:dyDescent="0.25">
      <c r="A60">
        <v>59</v>
      </c>
      <c r="B60">
        <v>71</v>
      </c>
    </row>
    <row r="61" spans="1:2" x14ac:dyDescent="0.25">
      <c r="A61">
        <v>60</v>
      </c>
      <c r="B61">
        <v>98</v>
      </c>
    </row>
    <row r="62" spans="1:2" x14ac:dyDescent="0.25">
      <c r="A62">
        <v>61</v>
      </c>
      <c r="B62">
        <v>66</v>
      </c>
    </row>
    <row r="63" spans="1:2" x14ac:dyDescent="0.25">
      <c r="A63">
        <v>62</v>
      </c>
      <c r="B63">
        <v>44</v>
      </c>
    </row>
    <row r="64" spans="1:2" x14ac:dyDescent="0.25">
      <c r="A64">
        <v>63</v>
      </c>
      <c r="B64">
        <v>51</v>
      </c>
    </row>
    <row r="65" spans="1:2" x14ac:dyDescent="0.25">
      <c r="A65">
        <v>64</v>
      </c>
      <c r="B65">
        <v>65</v>
      </c>
    </row>
    <row r="66" spans="1:2" x14ac:dyDescent="0.25">
      <c r="A66">
        <v>65</v>
      </c>
      <c r="B66">
        <v>100</v>
      </c>
    </row>
    <row r="67" spans="1:2" x14ac:dyDescent="0.25">
      <c r="A67">
        <v>66</v>
      </c>
      <c r="B67">
        <v>99</v>
      </c>
    </row>
    <row r="68" spans="1:2" x14ac:dyDescent="0.25">
      <c r="A68">
        <v>67</v>
      </c>
      <c r="B68">
        <v>76</v>
      </c>
    </row>
    <row r="69" spans="1:2" x14ac:dyDescent="0.25">
      <c r="A69">
        <v>68</v>
      </c>
      <c r="B69">
        <v>62</v>
      </c>
    </row>
    <row r="70" spans="1:2" x14ac:dyDescent="0.25">
      <c r="A70">
        <v>69</v>
      </c>
      <c r="B70">
        <v>44</v>
      </c>
    </row>
    <row r="71" spans="1:2" x14ac:dyDescent="0.25">
      <c r="A71">
        <v>70</v>
      </c>
      <c r="B71">
        <v>58</v>
      </c>
    </row>
    <row r="72" spans="1:2" x14ac:dyDescent="0.25">
      <c r="A72">
        <v>71</v>
      </c>
      <c r="B72">
        <v>79</v>
      </c>
    </row>
    <row r="73" spans="1:2" x14ac:dyDescent="0.25">
      <c r="A73">
        <v>72</v>
      </c>
      <c r="B73">
        <v>95</v>
      </c>
    </row>
    <row r="74" spans="1:2" x14ac:dyDescent="0.25">
      <c r="A74">
        <v>73</v>
      </c>
      <c r="B74">
        <v>67</v>
      </c>
    </row>
    <row r="75" spans="1:2" x14ac:dyDescent="0.25">
      <c r="A75">
        <v>74</v>
      </c>
      <c r="B75">
        <v>57</v>
      </c>
    </row>
    <row r="76" spans="1:2" x14ac:dyDescent="0.25">
      <c r="A76">
        <v>75</v>
      </c>
      <c r="B76">
        <v>97</v>
      </c>
    </row>
    <row r="77" spans="1:2" x14ac:dyDescent="0.25">
      <c r="A77">
        <v>76</v>
      </c>
      <c r="B77">
        <v>45</v>
      </c>
    </row>
    <row r="78" spans="1:2" x14ac:dyDescent="0.25">
      <c r="A78">
        <v>77</v>
      </c>
      <c r="B78">
        <v>50</v>
      </c>
    </row>
    <row r="79" spans="1:2" x14ac:dyDescent="0.25">
      <c r="A79">
        <v>78</v>
      </c>
      <c r="B79">
        <v>42</v>
      </c>
    </row>
    <row r="80" spans="1:2" x14ac:dyDescent="0.25">
      <c r="A80">
        <v>79</v>
      </c>
      <c r="B80">
        <v>65</v>
      </c>
    </row>
    <row r="81" spans="1:2" x14ac:dyDescent="0.25">
      <c r="A81">
        <v>80</v>
      </c>
      <c r="B81">
        <v>88</v>
      </c>
    </row>
    <row r="82" spans="1:2" x14ac:dyDescent="0.25">
      <c r="A82">
        <v>81</v>
      </c>
      <c r="B82">
        <v>78</v>
      </c>
    </row>
    <row r="83" spans="1:2" x14ac:dyDescent="0.25">
      <c r="A83">
        <v>82</v>
      </c>
      <c r="B83">
        <v>69</v>
      </c>
    </row>
    <row r="84" spans="1:2" x14ac:dyDescent="0.25">
      <c r="A84">
        <v>83</v>
      </c>
      <c r="B84">
        <v>78</v>
      </c>
    </row>
    <row r="85" spans="1:2" x14ac:dyDescent="0.25">
      <c r="A85">
        <v>84</v>
      </c>
      <c r="B85">
        <v>98</v>
      </c>
    </row>
    <row r="86" spans="1:2" x14ac:dyDescent="0.25">
      <c r="A86">
        <v>85</v>
      </c>
      <c r="B86">
        <v>74</v>
      </c>
    </row>
    <row r="87" spans="1:2" x14ac:dyDescent="0.25">
      <c r="A87">
        <v>86</v>
      </c>
      <c r="B87">
        <v>92</v>
      </c>
    </row>
    <row r="88" spans="1:2" x14ac:dyDescent="0.25">
      <c r="A88">
        <v>87</v>
      </c>
      <c r="B88">
        <v>97</v>
      </c>
    </row>
    <row r="89" spans="1:2" x14ac:dyDescent="0.25">
      <c r="A89">
        <v>88</v>
      </c>
      <c r="B89">
        <v>44</v>
      </c>
    </row>
    <row r="90" spans="1:2" x14ac:dyDescent="0.25">
      <c r="A90">
        <v>89</v>
      </c>
      <c r="B90">
        <v>62</v>
      </c>
    </row>
    <row r="91" spans="1:2" x14ac:dyDescent="0.25">
      <c r="A91">
        <v>90</v>
      </c>
      <c r="B91">
        <v>88</v>
      </c>
    </row>
    <row r="92" spans="1:2" x14ac:dyDescent="0.25">
      <c r="A92">
        <v>91</v>
      </c>
      <c r="B92">
        <v>96</v>
      </c>
    </row>
    <row r="93" spans="1:2" x14ac:dyDescent="0.25">
      <c r="A93">
        <v>92</v>
      </c>
      <c r="B93">
        <v>47</v>
      </c>
    </row>
    <row r="94" spans="1:2" x14ac:dyDescent="0.25">
      <c r="A94">
        <v>93</v>
      </c>
      <c r="B94">
        <v>43</v>
      </c>
    </row>
    <row r="95" spans="1:2" x14ac:dyDescent="0.25">
      <c r="A95">
        <v>94</v>
      </c>
      <c r="B95">
        <v>71</v>
      </c>
    </row>
    <row r="96" spans="1:2" x14ac:dyDescent="0.25">
      <c r="A96">
        <v>95</v>
      </c>
      <c r="B96">
        <v>93</v>
      </c>
    </row>
    <row r="97" spans="1:2" x14ac:dyDescent="0.25">
      <c r="A97">
        <v>96</v>
      </c>
      <c r="B97">
        <v>100</v>
      </c>
    </row>
    <row r="98" spans="1:2" x14ac:dyDescent="0.25">
      <c r="A98">
        <v>97</v>
      </c>
      <c r="B98">
        <v>43</v>
      </c>
    </row>
    <row r="99" spans="1:2" x14ac:dyDescent="0.25">
      <c r="A99">
        <v>98</v>
      </c>
      <c r="B99">
        <v>49</v>
      </c>
    </row>
    <row r="100" spans="1:2" x14ac:dyDescent="0.25">
      <c r="A100">
        <v>99</v>
      </c>
      <c r="B100">
        <v>95</v>
      </c>
    </row>
    <row r="101" spans="1:2" x14ac:dyDescent="0.25">
      <c r="A101">
        <v>100</v>
      </c>
      <c r="B10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4E81-9850-4182-A1F2-55F90256D585}">
  <dimension ref="E2:Y37"/>
  <sheetViews>
    <sheetView tabSelected="1" topLeftCell="B1" workbookViewId="0">
      <selection activeCell="H13" sqref="H13"/>
    </sheetView>
  </sheetViews>
  <sheetFormatPr defaultRowHeight="15" x14ac:dyDescent="0.25"/>
  <cols>
    <col min="5" max="5" width="22.85546875" customWidth="1"/>
    <col min="11" max="11" width="10.28515625" customWidth="1"/>
    <col min="12" max="12" width="17.5703125" customWidth="1"/>
    <col min="15" max="15" width="12" bestFit="1" customWidth="1"/>
    <col min="17" max="17" width="14.28515625" customWidth="1"/>
    <col min="19" max="19" width="17.28515625" customWidth="1"/>
    <col min="21" max="21" width="10.7109375" customWidth="1"/>
  </cols>
  <sheetData>
    <row r="2" spans="5:25" x14ac:dyDescent="0.25">
      <c r="W2">
        <v>736</v>
      </c>
      <c r="Y2">
        <v>11</v>
      </c>
    </row>
    <row r="3" spans="5:25" x14ac:dyDescent="0.25">
      <c r="W3">
        <v>984</v>
      </c>
      <c r="Y3">
        <v>66</v>
      </c>
    </row>
    <row r="4" spans="5:25" x14ac:dyDescent="0.25">
      <c r="L4" s="1" t="s">
        <v>273</v>
      </c>
      <c r="M4">
        <v>20000</v>
      </c>
      <c r="W4">
        <v>947</v>
      </c>
      <c r="Y4">
        <v>118</v>
      </c>
    </row>
    <row r="5" spans="5:25" x14ac:dyDescent="0.25">
      <c r="L5" s="1" t="s">
        <v>274</v>
      </c>
      <c r="M5">
        <v>200</v>
      </c>
      <c r="W5">
        <v>966</v>
      </c>
      <c r="Y5">
        <v>147</v>
      </c>
    </row>
    <row r="6" spans="5:25" x14ac:dyDescent="0.25">
      <c r="E6" t="s">
        <v>278</v>
      </c>
      <c r="L6" s="1" t="s">
        <v>275</v>
      </c>
      <c r="M6">
        <v>19800</v>
      </c>
      <c r="Q6">
        <v>0</v>
      </c>
      <c r="S6">
        <v>10</v>
      </c>
      <c r="U6">
        <v>10</v>
      </c>
      <c r="W6">
        <v>549</v>
      </c>
      <c r="Y6">
        <v>183</v>
      </c>
    </row>
    <row r="7" spans="5:25" x14ac:dyDescent="0.25">
      <c r="E7">
        <f>M5/M4</f>
        <v>0.01</v>
      </c>
      <c r="L7" s="1" t="s">
        <v>276</v>
      </c>
      <c r="M7" s="3">
        <v>0.99</v>
      </c>
      <c r="Q7">
        <v>50</v>
      </c>
      <c r="S7">
        <v>20</v>
      </c>
      <c r="U7">
        <v>20</v>
      </c>
      <c r="W7">
        <v>476</v>
      </c>
      <c r="Y7">
        <v>204</v>
      </c>
    </row>
    <row r="8" spans="5:25" x14ac:dyDescent="0.25">
      <c r="E8" s="3">
        <v>0.01</v>
      </c>
      <c r="L8" s="1" t="s">
        <v>277</v>
      </c>
      <c r="M8" s="3">
        <v>0.01</v>
      </c>
      <c r="Q8">
        <v>60</v>
      </c>
      <c r="S8">
        <v>30</v>
      </c>
      <c r="U8">
        <v>30</v>
      </c>
      <c r="W8">
        <v>707</v>
      </c>
      <c r="Y8">
        <v>243</v>
      </c>
    </row>
    <row r="9" spans="5:25" x14ac:dyDescent="0.25">
      <c r="Q9">
        <v>70</v>
      </c>
      <c r="S9">
        <v>40</v>
      </c>
      <c r="U9">
        <v>40</v>
      </c>
      <c r="W9">
        <v>796</v>
      </c>
      <c r="Y9">
        <v>386</v>
      </c>
    </row>
    <row r="10" spans="5:25" x14ac:dyDescent="0.25">
      <c r="E10" t="s">
        <v>279</v>
      </c>
      <c r="Q10">
        <v>80</v>
      </c>
      <c r="S10">
        <v>50</v>
      </c>
      <c r="U10">
        <v>50</v>
      </c>
      <c r="W10">
        <v>11</v>
      </c>
      <c r="Y10">
        <v>476</v>
      </c>
    </row>
    <row r="11" spans="5:25" x14ac:dyDescent="0.25">
      <c r="E11">
        <f>M6/M4</f>
        <v>0.99</v>
      </c>
      <c r="Q11">
        <v>90</v>
      </c>
      <c r="S11">
        <v>100</v>
      </c>
      <c r="W11">
        <v>641</v>
      </c>
      <c r="Y11">
        <v>549</v>
      </c>
    </row>
    <row r="12" spans="5:25" ht="15.75" thickBot="1" x14ac:dyDescent="0.3">
      <c r="E12" s="3">
        <v>0.99</v>
      </c>
      <c r="W12">
        <v>961</v>
      </c>
      <c r="Y12">
        <v>611</v>
      </c>
    </row>
    <row r="13" spans="5:25" ht="16.5" thickTop="1" thickBot="1" x14ac:dyDescent="0.3">
      <c r="K13" s="5" t="s">
        <v>284</v>
      </c>
      <c r="L13" s="5"/>
      <c r="M13" s="6"/>
      <c r="Q13">
        <f>SKEW(Q6:Q11)</f>
        <v>-1.4395902745279547</v>
      </c>
      <c r="S13">
        <f>SKEW(S6:S11)</f>
        <v>1.4395902745279547</v>
      </c>
      <c r="U13">
        <f>SKEW(U6:U10)</f>
        <v>0</v>
      </c>
      <c r="W13">
        <v>611</v>
      </c>
      <c r="Y13">
        <v>613</v>
      </c>
    </row>
    <row r="14" spans="5:25" ht="15.75" thickTop="1" x14ac:dyDescent="0.25">
      <c r="E14">
        <f>M5*E7</f>
        <v>2</v>
      </c>
      <c r="Q14" s="1" t="s">
        <v>281</v>
      </c>
      <c r="S14" s="1" t="s">
        <v>282</v>
      </c>
      <c r="U14" s="1" t="s">
        <v>283</v>
      </c>
      <c r="W14">
        <v>734</v>
      </c>
      <c r="Y14">
        <v>641</v>
      </c>
    </row>
    <row r="15" spans="5:25" x14ac:dyDescent="0.25">
      <c r="E15">
        <f>M6*E7</f>
        <v>198</v>
      </c>
      <c r="W15">
        <v>937</v>
      </c>
      <c r="Y15">
        <v>707</v>
      </c>
    </row>
    <row r="16" spans="5:25" x14ac:dyDescent="0.25">
      <c r="E16" t="s">
        <v>280</v>
      </c>
      <c r="Q16">
        <f>KURT(Q6:Q11)</f>
        <v>2.4377317925288882</v>
      </c>
      <c r="S16">
        <f>KURT(S6:S11)</f>
        <v>2.4377317925288899</v>
      </c>
      <c r="U16">
        <f>KURT(U6:U10)</f>
        <v>-1.1999999999999984</v>
      </c>
      <c r="W16">
        <v>147</v>
      </c>
      <c r="Y16">
        <v>709</v>
      </c>
    </row>
    <row r="17" spans="5:25" x14ac:dyDescent="0.25">
      <c r="E17">
        <f>E14+E15</f>
        <v>200</v>
      </c>
      <c r="W17">
        <v>66</v>
      </c>
      <c r="Y17">
        <v>734</v>
      </c>
    </row>
    <row r="18" spans="5:25" x14ac:dyDescent="0.25">
      <c r="F18" s="4"/>
      <c r="W18">
        <v>966</v>
      </c>
      <c r="Y18">
        <v>736</v>
      </c>
    </row>
    <row r="19" spans="5:25" x14ac:dyDescent="0.25">
      <c r="W19">
        <v>613</v>
      </c>
      <c r="Y19">
        <v>746</v>
      </c>
    </row>
    <row r="20" spans="5:25" x14ac:dyDescent="0.25">
      <c r="W20">
        <v>746</v>
      </c>
      <c r="Y20">
        <v>765</v>
      </c>
    </row>
    <row r="21" spans="5:25" x14ac:dyDescent="0.25">
      <c r="W21">
        <v>709</v>
      </c>
      <c r="Y21">
        <v>796</v>
      </c>
    </row>
    <row r="22" spans="5:25" x14ac:dyDescent="0.25">
      <c r="W22">
        <v>821</v>
      </c>
      <c r="Y22">
        <v>821</v>
      </c>
    </row>
    <row r="23" spans="5:25" x14ac:dyDescent="0.25">
      <c r="W23">
        <v>183</v>
      </c>
      <c r="Y23">
        <v>923</v>
      </c>
    </row>
    <row r="24" spans="5:25" x14ac:dyDescent="0.25">
      <c r="W24">
        <v>923</v>
      </c>
      <c r="Y24">
        <v>937</v>
      </c>
    </row>
    <row r="25" spans="5:25" x14ac:dyDescent="0.25">
      <c r="W25">
        <v>118</v>
      </c>
      <c r="Y25">
        <v>937</v>
      </c>
    </row>
    <row r="26" spans="5:25" x14ac:dyDescent="0.25">
      <c r="W26">
        <v>956</v>
      </c>
      <c r="Y26">
        <v>947</v>
      </c>
    </row>
    <row r="27" spans="5:25" x14ac:dyDescent="0.25">
      <c r="W27">
        <v>937</v>
      </c>
      <c r="Y27">
        <v>956</v>
      </c>
    </row>
    <row r="28" spans="5:25" x14ac:dyDescent="0.25">
      <c r="W28">
        <v>987</v>
      </c>
      <c r="Y28">
        <v>958</v>
      </c>
    </row>
    <row r="29" spans="5:25" x14ac:dyDescent="0.25">
      <c r="W29">
        <v>204</v>
      </c>
      <c r="Y29">
        <v>961</v>
      </c>
    </row>
    <row r="30" spans="5:25" x14ac:dyDescent="0.25">
      <c r="W30">
        <v>765</v>
      </c>
      <c r="Y30">
        <v>966</v>
      </c>
    </row>
    <row r="31" spans="5:25" x14ac:dyDescent="0.25">
      <c r="W31">
        <v>386</v>
      </c>
      <c r="Y31">
        <v>966</v>
      </c>
    </row>
    <row r="32" spans="5:25" x14ac:dyDescent="0.25">
      <c r="W32">
        <v>243</v>
      </c>
      <c r="Y32">
        <v>984</v>
      </c>
    </row>
    <row r="33" spans="23:25" x14ac:dyDescent="0.25">
      <c r="W33">
        <v>958</v>
      </c>
      <c r="Y33">
        <v>987</v>
      </c>
    </row>
    <row r="36" spans="23:25" x14ac:dyDescent="0.25">
      <c r="W36">
        <f>SKEW(W2:W33)</f>
        <v>-0.7390844696570964</v>
      </c>
    </row>
    <row r="37" spans="23:25" x14ac:dyDescent="0.25">
      <c r="W37">
        <f>KURT(W2:W33)</f>
        <v>-0.80049341674376073</v>
      </c>
    </row>
  </sheetData>
  <sortState xmlns:xlrd2="http://schemas.microsoft.com/office/spreadsheetml/2017/richdata2" ref="Y2:Y33">
    <sortCondition ref="Y2:Y33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RANDOM SAMPLING</vt:lpstr>
      <vt:lpstr>SYSTEMATIC SAMPLING</vt:lpstr>
      <vt:lpstr>STRATIFIED SAMPLING</vt:lpstr>
      <vt:lpstr>CLUSTER RANDOM SAMPLING</vt:lpstr>
      <vt:lpstr>Probability</vt:lpstr>
      <vt:lpstr>Dice</vt:lpstr>
      <vt:lpstr>Sheet2</vt:lpstr>
      <vt:lpstr>Bayes_Theorem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VARDHAN KUMAR REDDY KANCHARLA</dc:creator>
  <cp:lastModifiedBy>HARSHAVARDHAN NADIVEEDI</cp:lastModifiedBy>
  <dcterms:created xsi:type="dcterms:W3CDTF">2026-06-24T04:08:35Z</dcterms:created>
  <dcterms:modified xsi:type="dcterms:W3CDTF">2026-06-25T07:14:09Z</dcterms:modified>
</cp:coreProperties>
</file>