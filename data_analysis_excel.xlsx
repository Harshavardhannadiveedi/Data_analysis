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E81A642D-1229-4163-B120-75B6CB0EF589}" xr6:coauthVersionLast="47" xr6:coauthVersionMax="47" xr10:uidLastSave="{00000000-0000-0000-0000-000000000000}"/>
  <bookViews>
    <workbookView xWindow="-120" yWindow="-120" windowWidth="29040" windowHeight="15720" activeTab="2" xr2:uid="{31E05071-49C6-4A83-983D-0128F693ACCF}"/>
  </bookViews>
  <sheets>
    <sheet name="Descritive statistics" sheetId="3" r:id="rId1"/>
    <sheet name="Regression analysis" sheetId="5" r:id="rId2"/>
    <sheet name="student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<sst xmlns="http://schemas.openxmlformats.org/spreadsheetml/2006/main" count="81" uniqueCount="61">
  <si>
    <t>Student</t>
  </si>
  <si>
    <t>Marks</t>
  </si>
  <si>
    <t>Study Hours</t>
  </si>
  <si>
    <t>Diya</t>
  </si>
  <si>
    <t>Rahul</t>
  </si>
  <si>
    <t>Sneha</t>
  </si>
  <si>
    <t>Vikram</t>
  </si>
  <si>
    <t>Nisha</t>
  </si>
  <si>
    <t>Sanjay</t>
  </si>
  <si>
    <t>Kavya</t>
  </si>
  <si>
    <t>Manoj</t>
  </si>
  <si>
    <t>vinay</t>
  </si>
  <si>
    <t>Mean</t>
  </si>
  <si>
    <t>Median</t>
  </si>
  <si>
    <t>Mode</t>
  </si>
  <si>
    <t>Range</t>
  </si>
  <si>
    <t>Variance</t>
  </si>
  <si>
    <t>Std deviations</t>
  </si>
  <si>
    <t>Correlation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</si>
  <si>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</si>
  <si>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</si>
  <si>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</si>
  <si>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</si>
  <si>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</si>
  <si>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</si>
  <si>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</si>
  <si>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</si>
  <si>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</si>
  <si>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Study hours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</si>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</sst>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2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layout>
        <c:manualLayout>
          <c:xMode val="edge"/>
          <c:yMode val="edge"/>
          <c:x val="0.15305555555555556"/>
          <c:y val="7.224958949096879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'student data'!$C$2:$C$10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7</c:v>
                </c:pt>
              </c:numCache>
            </c:numRef>
          </c:xVal>
          <c:yVal>
            <c:numRef>
              <c:f>'Regression analysis'!$C$25:$C$33</c:f>
              <c:numCache>
                <c:formatCode>General</c:formatCode>
                <c:ptCount val="9"/>
                <c:pt idx="0">
                  <c:v>4.2881355932203462</c:v>
                </c:pt>
                <c:pt idx="1">
                  <c:v>-8.4745762711833095E-3</c:v>
                </c:pt>
                <c:pt idx="2">
                  <c:v>1.6398305084745743</c:v>
                </c:pt>
                <c:pt idx="3">
                  <c:v>-0.41525423728813848</c:v>
                </c:pt>
                <c:pt idx="4">
                  <c:v>-1.0084745762711833</c:v>
                </c:pt>
                <c:pt idx="5">
                  <c:v>-2.4152542372881385</c:v>
                </c:pt>
                <c:pt idx="6">
                  <c:v>1.6398305084745743</c:v>
                </c:pt>
                <c:pt idx="7">
                  <c:v>-1.0635593220338961</c:v>
                </c:pt>
                <c:pt idx="8">
                  <c:v>-2.656779661016941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F0-4606-AF23-9166E348C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94064"/>
        <c:axId val="132584944"/>
      </c:scatterChart>
      <c:valAx>
        <c:axId val="13259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84944"/>
        <c:crosses val="autoZero"/>
        <c:crossBetween val="midCat"/>
      </c:valAx>
      <c:valAx>
        <c:axId val="132584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940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layout>
        <c:manualLayout>
          <c:xMode val="edge"/>
          <c:yMode val="edge"/>
          <c:x val="0.23190097331583551"/>
          <c:y val="5.280528052805280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'student data'!$C$2:$C$10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7</c:v>
                </c:pt>
              </c:numCache>
            </c:numRef>
          </c:xVal>
          <c:yVal>
            <c:numRef>
              <c:f>'student data'!$B$2:$B$10</c:f>
              <c:numCache>
                <c:formatCode>General</c:formatCode>
                <c:ptCount val="9"/>
                <c:pt idx="0">
                  <c:v>85</c:v>
                </c:pt>
                <c:pt idx="1">
                  <c:v>92</c:v>
                </c:pt>
                <c:pt idx="2">
                  <c:v>88</c:v>
                </c:pt>
                <c:pt idx="3">
                  <c:v>69</c:v>
                </c:pt>
                <c:pt idx="4">
                  <c:v>91</c:v>
                </c:pt>
                <c:pt idx="5">
                  <c:v>67</c:v>
                </c:pt>
                <c:pt idx="6">
                  <c:v>88</c:v>
                </c:pt>
                <c:pt idx="7">
                  <c:v>74</c:v>
                </c:pt>
                <c:pt idx="8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30-45B8-840D-52D21DA26CF8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'student data'!$C$2:$C$10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7</c:v>
                </c:pt>
              </c:numCache>
            </c:numRef>
          </c:xVal>
          <c:yVal>
            <c:numRef>
              <c:f>'Regression analysis'!$B$25:$B$33</c:f>
              <c:numCache>
                <c:formatCode>General</c:formatCode>
                <c:ptCount val="9"/>
                <c:pt idx="0">
                  <c:v>80.711864406779654</c:v>
                </c:pt>
                <c:pt idx="1">
                  <c:v>92.008474576271183</c:v>
                </c:pt>
                <c:pt idx="2">
                  <c:v>86.360169491525426</c:v>
                </c:pt>
                <c:pt idx="3">
                  <c:v>69.415254237288138</c:v>
                </c:pt>
                <c:pt idx="4">
                  <c:v>92.008474576271183</c:v>
                </c:pt>
                <c:pt idx="5">
                  <c:v>69.415254237288138</c:v>
                </c:pt>
                <c:pt idx="6">
                  <c:v>86.360169491525426</c:v>
                </c:pt>
                <c:pt idx="7">
                  <c:v>75.063559322033896</c:v>
                </c:pt>
                <c:pt idx="8">
                  <c:v>97.656779661016941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30-45B8-840D-52D21DA26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7504"/>
        <c:axId val="132611344"/>
      </c:scatterChart>
      <c:valAx>
        <c:axId val="13260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611344"/>
        <c:crosses val="autoZero"/>
        <c:crossBetween val="midCat"/>
      </c:valAx>
      <c:valAx>
        <c:axId val="132611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607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layout>
        <c:manualLayout>
          <c:xMode val="edge"/>
          <c:yMode val="edge"/>
          <c:x val="0.20208333333333334"/>
          <c:y val="4.5977011494252873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'Regression analysis'!$F$25:$F$33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'Regression analysis'!$G$25:$G$33</c:f>
              <c:numCache>
                <c:formatCode>General</c:formatCode>
                <c:ptCount val="9"/>
                <c:pt idx="0">
                  <c:v>67</c:v>
                </c:pt>
                <c:pt idx="1">
                  <c:v>69</c:v>
                </c:pt>
                <c:pt idx="2">
                  <c:v>74</c:v>
                </c:pt>
                <c:pt idx="3">
                  <c:v>85</c:v>
                </c:pt>
                <c:pt idx="4">
                  <c:v>88</c:v>
                </c:pt>
                <c:pt idx="5">
                  <c:v>88</c:v>
                </c:pt>
                <c:pt idx="6">
                  <c:v>91</c:v>
                </c:pt>
                <c:pt idx="7">
                  <c:v>92</c:v>
                </c:pt>
                <c:pt idx="8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CF-499B-87AA-6ACCBA817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92624"/>
        <c:axId val="132603664"/>
      </c:scatterChart>
      <c:valAx>
        <c:axId val="13259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603664"/>
        <c:crosses val="autoZero"/>
        <c:crossBetween val="midCat"/>
      </c:valAx>
      <c:valAx>
        <c:axId val="132603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5926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 Chart Marks vs study hours</a:t>
            </a:r>
          </a:p>
        </c:rich>
      </c:tx>
      <c:layout>
        <c:manualLayout>
          <c:xMode val="edge"/>
          <c:yMode val="edge"/>
          <c:x val="0.1990377942319834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62394660905955E-2"/>
          <c:y val="0.17171296296296298"/>
          <c:w val="0.8952176703558179"/>
          <c:h val="0.72088764946048411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data'!$B$2:$C$2</c:f>
              <c:numCache>
                <c:formatCode>General</c:formatCode>
                <c:ptCount val="2"/>
                <c:pt idx="0">
                  <c:v>85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4-4654-A5D4-4DCFB841FCF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data'!$B$3:$C$3</c:f>
              <c:numCache>
                <c:formatCode>General</c:formatCode>
                <c:ptCount val="2"/>
                <c:pt idx="0">
                  <c:v>92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4-4654-A5D4-4DCFB841FCF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data'!$B$4:$C$4</c:f>
              <c:numCache>
                <c:formatCode>General</c:formatCode>
                <c:ptCount val="2"/>
                <c:pt idx="0">
                  <c:v>88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C4-4654-A5D4-4DCFB841FCFA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data'!$B$5:$C$5</c:f>
              <c:numCache>
                <c:formatCode>General</c:formatCode>
                <c:ptCount val="2"/>
                <c:pt idx="0">
                  <c:v>69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C4-4654-A5D4-4DCFB841FCFA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data'!$B$6:$C$6</c:f>
              <c:numCache>
                <c:formatCode>General</c:formatCode>
                <c:ptCount val="2"/>
                <c:pt idx="0">
                  <c:v>91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C4-4654-A5D4-4DCFB841FCFA}"/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data'!$B$7:$C$7</c:f>
              <c:numCache>
                <c:formatCode>General</c:formatCode>
                <c:ptCount val="2"/>
                <c:pt idx="0">
                  <c:v>67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C4-4654-A5D4-4DCFB841FCFA}"/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data'!$B$8:$C$8</c:f>
              <c:numCache>
                <c:formatCode>General</c:formatCode>
                <c:ptCount val="2"/>
                <c:pt idx="0">
                  <c:v>88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C4-4654-A5D4-4DCFB841FCFA}"/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data'!$B$9:$C$9</c:f>
              <c:numCache>
                <c:formatCode>General</c:formatCode>
                <c:ptCount val="2"/>
                <c:pt idx="0">
                  <c:v>74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C4-4654-A5D4-4DCFB841FCFA}"/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data'!$B$1:$C$1</c:f>
              <c:strCache>
                <c:ptCount val="2"/>
                <c:pt idx="0">
                  <c:v>Marks</c:v>
                </c:pt>
                <c:pt idx="1">
                  <c:v>Study Hours</c:v>
                </c:pt>
              </c:strCache>
            </c:strRef>
          </c:cat>
          <c:val>
            <c:numRef>
              <c:f>'student data'!$B$10:$C$10</c:f>
              <c:numCache>
                <c:formatCode>General</c:formatCode>
                <c:ptCount val="2"/>
                <c:pt idx="0">
                  <c:v>95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C4-4654-A5D4-4DCFB841FC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9288000"/>
        <c:axId val="59276480"/>
        <c:axId val="0"/>
      </c:bar3DChart>
      <c:catAx>
        <c:axId val="5928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76480"/>
        <c:crosses val="autoZero"/>
        <c:auto val="1"/>
        <c:lblAlgn val="ctr"/>
        <c:lblOffset val="100"/>
        <c:noMultiLvlLbl val="0"/>
      </c:catAx>
      <c:valAx>
        <c:axId val="592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</a:t>
            </a:r>
            <a:r>
              <a:rPr lang="en-IN" baseline="0"/>
              <a:t> </a:t>
            </a:r>
            <a:r>
              <a:rPr lang="en-IN"/>
              <a:t>Chart for</a:t>
            </a:r>
            <a:r>
              <a:rPr lang="en-IN" baseline="0"/>
              <a:t> marks</a:t>
            </a:r>
            <a:endParaRPr lang="en-IN"/>
          </a:p>
        </c:rich>
      </c:tx>
      <c:layout>
        <c:manualLayout>
          <c:xMode val="edge"/>
          <c:yMode val="edge"/>
          <c:x val="0.2818333333333333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000000000000001E-2"/>
          <c:y val="0.19432888597258677"/>
          <c:w val="0.8061482939632546"/>
          <c:h val="0.7547451881014872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data'!$A$2:$A$10</c:f>
              <c:strCache>
                <c:ptCount val="9"/>
                <c:pt idx="0">
                  <c:v>Diya</c:v>
                </c:pt>
                <c:pt idx="1">
                  <c:v>Rahul</c:v>
                </c:pt>
                <c:pt idx="2">
                  <c:v>Sneha</c:v>
                </c:pt>
                <c:pt idx="3">
                  <c:v>Vikram</c:v>
                </c:pt>
                <c:pt idx="4">
                  <c:v>Nisha</c:v>
                </c:pt>
                <c:pt idx="5">
                  <c:v>Sanjay</c:v>
                </c:pt>
                <c:pt idx="6">
                  <c:v>Kavya</c:v>
                </c:pt>
                <c:pt idx="7">
                  <c:v>Manoj</c:v>
                </c:pt>
                <c:pt idx="8">
                  <c:v>vinay</c:v>
                </c:pt>
              </c:strCache>
            </c:strRef>
          </c:cat>
          <c:val>
            <c:numRef>
              <c:f>'student data'!$B$2:$B$10</c:f>
              <c:numCache>
                <c:formatCode>General</c:formatCode>
                <c:ptCount val="9"/>
                <c:pt idx="0">
                  <c:v>85</c:v>
                </c:pt>
                <c:pt idx="1">
                  <c:v>92</c:v>
                </c:pt>
                <c:pt idx="2">
                  <c:v>88</c:v>
                </c:pt>
                <c:pt idx="3">
                  <c:v>69</c:v>
                </c:pt>
                <c:pt idx="4">
                  <c:v>91</c:v>
                </c:pt>
                <c:pt idx="5">
                  <c:v>67</c:v>
                </c:pt>
                <c:pt idx="6">
                  <c:v>88</c:v>
                </c:pt>
                <c:pt idx="7">
                  <c:v>74</c:v>
                </c:pt>
                <c:pt idx="8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B-452C-8459-2ED95FD137D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>
          <a:outerShdw blurRad="749300" dir="13620000" sx="56000" sy="56000" algn="ctr" rotWithShape="0">
            <a:srgbClr val="000000">
              <a:alpha val="56000"/>
            </a:srgbClr>
          </a:outerShdw>
          <a:softEdge rad="88900"/>
        </a:effectLst>
      </c:spPr>
    </c:plotArea>
    <c:legend>
      <c:legendPos val="r"/>
      <c:layout>
        <c:manualLayout>
          <c:xMode val="edge"/>
          <c:yMode val="edge"/>
          <c:x val="0.84781496062992112"/>
          <c:y val="0.2201363371245261"/>
          <c:w val="0.13551837270341208"/>
          <c:h val="0.7031299212598425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180975</xdr:rowOff>
    </xdr:from>
    <xdr:to>
      <xdr:col>15</xdr:col>
      <xdr:colOff>66675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270D2-5209-968E-71E7-06BA7C6CD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</xdr:colOff>
      <xdr:row>11</xdr:row>
      <xdr:rowOff>38100</xdr:rowOff>
    </xdr:from>
    <xdr:to>
      <xdr:col>15</xdr:col>
      <xdr:colOff>66675</xdr:colOff>
      <xdr:row>21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8F3A09-0B94-B019-46F3-A7BF02C28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21</xdr:row>
      <xdr:rowOff>66675</xdr:rowOff>
    </xdr:from>
    <xdr:to>
      <xdr:col>15</xdr:col>
      <xdr:colOff>123825</xdr:colOff>
      <xdr:row>31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B95B3-A4B6-AB9F-5665-A7F1C9F2C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</xdr:row>
      <xdr:rowOff>166687</xdr:rowOff>
    </xdr:from>
    <xdr:to>
      <xdr:col>10</xdr:col>
      <xdr:colOff>104775</xdr:colOff>
      <xdr:row>18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9B8700-B435-4632-6B69-48069DDC5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166687</xdr:colOff>
      <xdr:row>4</xdr:row>
      <xdr:rowOff>14287</xdr:rowOff>
    </xdr:from>
    <xdr:to>
      <xdr:col>17</xdr:col>
      <xdr:colOff>471487</xdr:colOff>
      <xdr:row>18</xdr:row>
      <xdr:rowOff>90487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6D5781-4564-8858-84C2-D957B17D6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27DD-CB21-4799-99F0-97AF34D56304}">
  <dimension ref="A1:D15"/>
  <sheetViews>
    <sheetView workbookViewId="0">
      <selection activeCell="G29" sqref="G29"/>
    </sheetView>
  </sheetViews>
  <sheetFormatPr defaultRowHeight="15" x14ac:dyDescent="0.25"/>
  <cols>
    <col min="1" max="1" width="17.85546875" customWidth="1"/>
    <col min="2" max="2" width="26.140625" customWidth="1"/>
    <col min="3" max="3" width="18.85546875" customWidth="1"/>
    <col min="4" max="4" width="23.7109375" customWidth="1"/>
  </cols>
  <sheetData>
    <row r="1" spans="1:4" ht="15.75" x14ac:dyDescent="0.25">
      <c r="A1" s="11" t="s">
        <v>1</v>
      </c>
      <c r="B1" s="10"/>
      <c r="C1" s="11" t="s">
        <v>28</v>
      </c>
      <c r="D1" s="10"/>
    </row>
    <row r="2" spans="1:4" x14ac:dyDescent="0.25">
      <c r="A2" s="6"/>
      <c r="B2" s="6"/>
      <c r="C2" s="6"/>
      <c r="D2" s="6"/>
    </row>
    <row r="3" spans="1:4" x14ac:dyDescent="0.25">
      <c r="A3" s="12" t="s">
        <v>12</v>
      </c>
      <c r="B3" s="6">
        <v>83.222222222222229</v>
      </c>
      <c r="C3" s="12" t="s">
        <v>12</v>
      </c>
      <c r="D3" s="6">
        <v>4.4444444444444446</v>
      </c>
    </row>
    <row r="4" spans="1:4" x14ac:dyDescent="0.25">
      <c r="A4" s="12" t="s">
        <v>19</v>
      </c>
      <c r="B4" s="6">
        <v>3.487189961438935</v>
      </c>
      <c r="C4" s="12" t="s">
        <v>19</v>
      </c>
      <c r="D4" s="6">
        <v>0.60348780506667865</v>
      </c>
    </row>
    <row r="5" spans="1:4" x14ac:dyDescent="0.25">
      <c r="A5" s="12" t="s">
        <v>13</v>
      </c>
      <c r="B5" s="6">
        <v>88</v>
      </c>
      <c r="C5" s="12" t="s">
        <v>13</v>
      </c>
      <c r="D5" s="6">
        <v>5</v>
      </c>
    </row>
    <row r="6" spans="1:4" x14ac:dyDescent="0.25">
      <c r="A6" s="12" t="s">
        <v>14</v>
      </c>
      <c r="B6" s="6">
        <v>88</v>
      </c>
      <c r="C6" s="12" t="s">
        <v>14</v>
      </c>
      <c r="D6" s="6">
        <v>6</v>
      </c>
    </row>
    <row r="7" spans="1:4" x14ac:dyDescent="0.25">
      <c r="A7" s="12" t="s">
        <v>20</v>
      </c>
      <c r="B7" s="6">
        <v>10.461569884316805</v>
      </c>
      <c r="C7" s="12" t="s">
        <v>20</v>
      </c>
      <c r="D7" s="6">
        <v>1.8104634152000361</v>
      </c>
    </row>
    <row r="8" spans="1:4" x14ac:dyDescent="0.25">
      <c r="A8" s="12" t="s">
        <v>21</v>
      </c>
      <c r="B8" s="6">
        <v>109.44444444444434</v>
      </c>
      <c r="C8" s="12" t="s">
        <v>21</v>
      </c>
      <c r="D8" s="6">
        <v>3.2777777777777786</v>
      </c>
    </row>
    <row r="9" spans="1:4" x14ac:dyDescent="0.25">
      <c r="A9" s="12" t="s">
        <v>22</v>
      </c>
      <c r="B9" s="6">
        <v>-1.2776671832380533</v>
      </c>
      <c r="C9" s="12" t="s">
        <v>22</v>
      </c>
      <c r="D9" s="6">
        <v>-1.3215414289818197</v>
      </c>
    </row>
    <row r="10" spans="1:4" x14ac:dyDescent="0.25">
      <c r="A10" s="12" t="s">
        <v>23</v>
      </c>
      <c r="B10" s="6">
        <v>-0.69141833656574869</v>
      </c>
      <c r="C10" s="12" t="s">
        <v>23</v>
      </c>
      <c r="D10" s="6">
        <v>-0.20997125667317748</v>
      </c>
    </row>
    <row r="11" spans="1:4" x14ac:dyDescent="0.25">
      <c r="A11" s="12" t="s">
        <v>15</v>
      </c>
      <c r="B11" s="6">
        <v>28</v>
      </c>
      <c r="C11" s="12" t="s">
        <v>15</v>
      </c>
      <c r="D11" s="6">
        <v>5</v>
      </c>
    </row>
    <row r="12" spans="1:4" x14ac:dyDescent="0.25">
      <c r="A12" s="12" t="s">
        <v>24</v>
      </c>
      <c r="B12" s="6">
        <v>67</v>
      </c>
      <c r="C12" s="12" t="s">
        <v>24</v>
      </c>
      <c r="D12" s="6">
        <v>2</v>
      </c>
    </row>
    <row r="13" spans="1:4" x14ac:dyDescent="0.25">
      <c r="A13" s="12" t="s">
        <v>25</v>
      </c>
      <c r="B13" s="6">
        <v>95</v>
      </c>
      <c r="C13" s="12" t="s">
        <v>25</v>
      </c>
      <c r="D13" s="6">
        <v>7</v>
      </c>
    </row>
    <row r="14" spans="1:4" x14ac:dyDescent="0.25">
      <c r="A14" s="12" t="s">
        <v>26</v>
      </c>
      <c r="B14" s="6">
        <v>749</v>
      </c>
      <c r="C14" s="12" t="s">
        <v>26</v>
      </c>
      <c r="D14" s="6">
        <v>40</v>
      </c>
    </row>
    <row r="15" spans="1:4" ht="15.75" thickBot="1" x14ac:dyDescent="0.3">
      <c r="A15" s="13" t="s">
        <v>27</v>
      </c>
      <c r="B15" s="7">
        <v>9</v>
      </c>
      <c r="C15" s="13" t="s">
        <v>27</v>
      </c>
      <c r="D15" s="7">
        <v>9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5DD6-150C-484F-B642-341A4A391ADD}">
  <dimension ref="A1:I33"/>
  <sheetViews>
    <sheetView workbookViewId="0">
      <selection activeCell="I25" sqref="I25"/>
    </sheetView>
  </sheetViews>
  <sheetFormatPr defaultRowHeight="15" x14ac:dyDescent="0.25"/>
  <cols>
    <col min="1" max="1" width="21.5703125" customWidth="1"/>
    <col min="2" max="2" width="19.5703125" customWidth="1"/>
    <col min="3" max="3" width="16.42578125" customWidth="1"/>
    <col min="4" max="4" width="19.140625" customWidth="1"/>
    <col min="6" max="6" width="15" customWidth="1"/>
    <col min="7" max="7" width="13.85546875" customWidth="1"/>
    <col min="8" max="8" width="14" customWidth="1"/>
    <col min="9" max="9" width="12.7109375" customWidth="1"/>
  </cols>
  <sheetData>
    <row r="1" spans="1:9" x14ac:dyDescent="0.25">
      <c r="A1" t="s">
        <v>29</v>
      </c>
    </row>
    <row r="2" spans="1:9" ht="15.75" thickBot="1" x14ac:dyDescent="0.3"/>
    <row r="3" spans="1:9" x14ac:dyDescent="0.25">
      <c r="A3" s="9" t="s">
        <v>30</v>
      </c>
      <c r="B3" s="9"/>
    </row>
    <row r="4" spans="1:9" x14ac:dyDescent="0.25">
      <c r="A4" s="6" t="s">
        <v>31</v>
      </c>
      <c r="B4" s="6">
        <v>0.97748711014688705</v>
      </c>
    </row>
    <row r="5" spans="1:9" x14ac:dyDescent="0.25">
      <c r="A5" s="6" t="s">
        <v>32</v>
      </c>
      <c r="B5" s="6">
        <v>0.95548105050331245</v>
      </c>
    </row>
    <row r="6" spans="1:9" x14ac:dyDescent="0.25">
      <c r="A6" s="6" t="s">
        <v>33</v>
      </c>
      <c r="B6" s="6">
        <v>0.94912120057521421</v>
      </c>
    </row>
    <row r="7" spans="1:9" x14ac:dyDescent="0.25">
      <c r="A7" s="6" t="s">
        <v>19</v>
      </c>
      <c r="B7" s="6">
        <v>2.3597461594514786</v>
      </c>
    </row>
    <row r="8" spans="1:9" ht="15.75" thickBot="1" x14ac:dyDescent="0.3">
      <c r="A8" s="7" t="s">
        <v>34</v>
      </c>
      <c r="B8" s="7">
        <v>9</v>
      </c>
    </row>
    <row r="10" spans="1:9" ht="15.75" thickBot="1" x14ac:dyDescent="0.3">
      <c r="A10" t="s">
        <v>35</v>
      </c>
    </row>
    <row r="11" spans="1:9" x14ac:dyDescent="0.25">
      <c r="A11" s="8"/>
      <c r="B11" s="8" t="s">
        <v>40</v>
      </c>
      <c r="C11" s="8" t="s">
        <v>41</v>
      </c>
      <c r="D11" s="8" t="s">
        <v>42</v>
      </c>
      <c r="E11" s="8" t="s">
        <v>43</v>
      </c>
      <c r="F11" s="8" t="s">
        <v>44</v>
      </c>
    </row>
    <row r="12" spans="1:9" x14ac:dyDescent="0.25">
      <c r="A12" s="6" t="s">
        <v>36</v>
      </c>
      <c r="B12" s="6">
        <v>1</v>
      </c>
      <c r="C12" s="6">
        <v>836.57674199623364</v>
      </c>
      <c r="D12" s="6">
        <v>836.57674199623364</v>
      </c>
      <c r="E12" s="6">
        <v>150.23641458612661</v>
      </c>
      <c r="F12" s="6">
        <v>5.5144502144909161E-6</v>
      </c>
    </row>
    <row r="13" spans="1:9" x14ac:dyDescent="0.25">
      <c r="A13" s="6" t="s">
        <v>37</v>
      </c>
      <c r="B13" s="6">
        <v>7</v>
      </c>
      <c r="C13" s="6">
        <v>38.978813559322013</v>
      </c>
      <c r="D13" s="6">
        <v>5.5684019370460023</v>
      </c>
      <c r="E13" s="6"/>
      <c r="F13" s="6"/>
    </row>
    <row r="14" spans="1:9" ht="15.75" thickBot="1" x14ac:dyDescent="0.3">
      <c r="A14" s="7" t="s">
        <v>38</v>
      </c>
      <c r="B14" s="7">
        <v>8</v>
      </c>
      <c r="C14" s="7">
        <v>875.55555555555566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45</v>
      </c>
      <c r="C16" s="8" t="s">
        <v>19</v>
      </c>
      <c r="D16" s="8" t="s">
        <v>46</v>
      </c>
      <c r="E16" s="8" t="s">
        <v>47</v>
      </c>
      <c r="F16" s="8" t="s">
        <v>48</v>
      </c>
      <c r="G16" s="8" t="s">
        <v>49</v>
      </c>
      <c r="H16" s="8" t="s">
        <v>50</v>
      </c>
      <c r="I16" s="8" t="s">
        <v>51</v>
      </c>
    </row>
    <row r="17" spans="1:9" x14ac:dyDescent="0.25">
      <c r="A17" s="6" t="s">
        <v>39</v>
      </c>
      <c r="B17" s="6">
        <v>58.118644067796609</v>
      </c>
      <c r="C17" s="6">
        <v>2.1939380999153335</v>
      </c>
      <c r="D17" s="6">
        <v>26.490557810195043</v>
      </c>
      <c r="E17" s="6">
        <v>2.7972109052311156E-8</v>
      </c>
      <c r="F17" s="6">
        <v>52.930804830243417</v>
      </c>
      <c r="G17" s="6">
        <v>63.306483305349801</v>
      </c>
      <c r="H17" s="6">
        <v>52.930804830243417</v>
      </c>
      <c r="I17" s="6">
        <v>63.306483305349801</v>
      </c>
    </row>
    <row r="18" spans="1:9" ht="15.75" thickBot="1" x14ac:dyDescent="0.3">
      <c r="A18" s="7" t="s">
        <v>52</v>
      </c>
      <c r="B18" s="7">
        <v>5.648305084745763</v>
      </c>
      <c r="C18" s="7">
        <v>0.46081917403525424</v>
      </c>
      <c r="D18" s="7">
        <v>12.257096499013404</v>
      </c>
      <c r="E18" s="7">
        <v>5.5144502144909161E-6</v>
      </c>
      <c r="F18" s="7">
        <v>4.5586408902230442</v>
      </c>
      <c r="G18" s="7">
        <v>6.7379692792684818</v>
      </c>
      <c r="H18" s="7">
        <v>4.5586408902230442</v>
      </c>
      <c r="I18" s="7">
        <v>6.7379692792684818</v>
      </c>
    </row>
    <row r="22" spans="1:9" x14ac:dyDescent="0.25">
      <c r="A22" t="s">
        <v>53</v>
      </c>
      <c r="F22" t="s">
        <v>58</v>
      </c>
    </row>
    <row r="23" spans="1:9" ht="15.75" thickBot="1" x14ac:dyDescent="0.3"/>
    <row r="24" spans="1:9" x14ac:dyDescent="0.25">
      <c r="A24" s="8" t="s">
        <v>54</v>
      </c>
      <c r="B24" s="8" t="s">
        <v>55</v>
      </c>
      <c r="C24" s="8" t="s">
        <v>56</v>
      </c>
      <c r="D24" s="8" t="s">
        <v>57</v>
      </c>
      <c r="F24" s="8" t="s">
        <v>59</v>
      </c>
      <c r="G24" s="8" t="s">
        <v>60</v>
      </c>
    </row>
    <row r="25" spans="1:9" x14ac:dyDescent="0.25">
      <c r="A25" s="6">
        <v>1</v>
      </c>
      <c r="B25" s="6">
        <v>80.711864406779654</v>
      </c>
      <c r="C25" s="6">
        <v>4.2881355932203462</v>
      </c>
      <c r="D25" s="6">
        <v>1.9426707225142201</v>
      </c>
      <c r="F25" s="6">
        <v>5.5555555555555554</v>
      </c>
      <c r="G25" s="6">
        <v>67</v>
      </c>
    </row>
    <row r="26" spans="1:9" x14ac:dyDescent="0.25">
      <c r="A26" s="6">
        <v>2</v>
      </c>
      <c r="B26" s="6">
        <v>92.008474576271183</v>
      </c>
      <c r="C26" s="6">
        <v>-8.4745762711833095E-3</v>
      </c>
      <c r="D26" s="6">
        <v>-3.8392702025958482E-3</v>
      </c>
      <c r="F26" s="6">
        <v>16.666666666666664</v>
      </c>
      <c r="G26" s="6">
        <v>69</v>
      </c>
    </row>
    <row r="27" spans="1:9" x14ac:dyDescent="0.25">
      <c r="A27" s="6">
        <v>3</v>
      </c>
      <c r="B27" s="6">
        <v>86.360169491525426</v>
      </c>
      <c r="C27" s="6">
        <v>1.6398305084745743</v>
      </c>
      <c r="D27" s="6">
        <v>0.74289878420257016</v>
      </c>
      <c r="F27" s="6">
        <v>27.777777777777779</v>
      </c>
      <c r="G27" s="6">
        <v>74</v>
      </c>
    </row>
    <row r="28" spans="1:9" x14ac:dyDescent="0.25">
      <c r="A28" s="6">
        <v>4</v>
      </c>
      <c r="B28" s="6">
        <v>69.415254237288138</v>
      </c>
      <c r="C28" s="6">
        <v>-0.41525423728813848</v>
      </c>
      <c r="D28" s="6">
        <v>-0.18812423992726737</v>
      </c>
      <c r="F28" s="6">
        <v>38.888888888888886</v>
      </c>
      <c r="G28" s="6">
        <v>85</v>
      </c>
    </row>
    <row r="29" spans="1:9" x14ac:dyDescent="0.25">
      <c r="A29" s="6">
        <v>5</v>
      </c>
      <c r="B29" s="6">
        <v>92.008474576271183</v>
      </c>
      <c r="C29" s="6">
        <v>-1.0084745762711833</v>
      </c>
      <c r="D29" s="6">
        <v>-0.45687315410907331</v>
      </c>
      <c r="F29" s="6">
        <v>50</v>
      </c>
      <c r="G29" s="6">
        <v>88</v>
      </c>
    </row>
    <row r="30" spans="1:9" x14ac:dyDescent="0.25">
      <c r="A30" s="6">
        <v>6</v>
      </c>
      <c r="B30" s="6">
        <v>69.415254237288138</v>
      </c>
      <c r="C30" s="6">
        <v>-2.4152542372881385</v>
      </c>
      <c r="D30" s="6">
        <v>-1.0941920077402223</v>
      </c>
      <c r="F30" s="6">
        <v>61.111111111111114</v>
      </c>
      <c r="G30" s="6">
        <v>88</v>
      </c>
    </row>
    <row r="31" spans="1:9" x14ac:dyDescent="0.25">
      <c r="A31" s="6">
        <v>7</v>
      </c>
      <c r="B31" s="6">
        <v>86.360169491525426</v>
      </c>
      <c r="C31" s="6">
        <v>1.6398305084745743</v>
      </c>
      <c r="D31" s="6">
        <v>0.74289878420257016</v>
      </c>
      <c r="F31" s="6">
        <v>72.222222222222214</v>
      </c>
      <c r="G31" s="6">
        <v>91</v>
      </c>
    </row>
    <row r="32" spans="1:9" x14ac:dyDescent="0.25">
      <c r="A32" s="6">
        <v>8</v>
      </c>
      <c r="B32" s="6">
        <v>75.063559322033896</v>
      </c>
      <c r="C32" s="6">
        <v>-1.0635593220338961</v>
      </c>
      <c r="D32" s="6">
        <v>-0.48182841042595598</v>
      </c>
      <c r="F32" s="6">
        <v>83.333333333333329</v>
      </c>
      <c r="G32" s="6">
        <v>92</v>
      </c>
    </row>
    <row r="33" spans="1:7" ht="15.75" thickBot="1" x14ac:dyDescent="0.3">
      <c r="A33" s="7">
        <v>9</v>
      </c>
      <c r="B33" s="7">
        <v>97.656779661016941</v>
      </c>
      <c r="C33" s="7">
        <v>-2.656779661016941</v>
      </c>
      <c r="D33" s="7">
        <v>-1.2036112085142394</v>
      </c>
      <c r="F33" s="7">
        <v>94.444444444444443</v>
      </c>
      <c r="G33" s="7">
        <v>95</v>
      </c>
    </row>
  </sheetData>
  <sortState xmlns:xlrd2="http://schemas.microsoft.com/office/spreadsheetml/2017/richdata2" ref="G25:G33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E1EB-3BF1-40BE-90D0-365BCF5B84CF}">
  <dimension ref="A1:M11"/>
  <sheetViews>
    <sheetView tabSelected="1" workbookViewId="0">
      <selection activeCell="M31" sqref="M31"/>
    </sheetView>
  </sheetViews>
  <sheetFormatPr defaultRowHeight="15" x14ac:dyDescent="0.25"/>
  <cols>
    <col min="3" max="3" width="18.7109375" customWidth="1"/>
    <col min="9" max="9" width="16.28515625" customWidth="1"/>
    <col min="10" max="10" width="12.140625" customWidth="1"/>
  </cols>
  <sheetData>
    <row r="1" spans="1:13" x14ac:dyDescent="0.25">
      <c r="A1" s="1" t="s">
        <v>0</v>
      </c>
      <c r="B1" s="3" t="s">
        <v>1</v>
      </c>
      <c r="C1" s="3" t="s">
        <v>2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</row>
    <row r="2" spans="1:13" x14ac:dyDescent="0.25">
      <c r="A2" s="4" t="s">
        <v>3</v>
      </c>
      <c r="B2" s="2">
        <v>85</v>
      </c>
      <c r="C2" s="2">
        <v>4</v>
      </c>
      <c r="D2">
        <f>AVERAGE(B2:B10)</f>
        <v>83.222222222222229</v>
      </c>
      <c r="E2">
        <f>MEDIAN(B2:B10)</f>
        <v>88</v>
      </c>
      <c r="F2">
        <f>_xlfn.MODE.SNGL(B2:B10)</f>
        <v>88</v>
      </c>
      <c r="G2">
        <f>MAX(B2:B10)-MIN(B2:B10)</f>
        <v>28</v>
      </c>
      <c r="H2">
        <f>_xlfn.VAR.S(B2:B10)</f>
        <v>109.44444444444434</v>
      </c>
      <c r="I2">
        <f>_xlfn.STDEV.S(B2:B10)</f>
        <v>10.461569884316805</v>
      </c>
      <c r="J2">
        <f>CORREL(B2:B10,C2:C10)</f>
        <v>0.97748711014688672</v>
      </c>
    </row>
    <row r="3" spans="1:13" x14ac:dyDescent="0.25">
      <c r="A3" s="4" t="s">
        <v>4</v>
      </c>
      <c r="B3" s="2">
        <v>92</v>
      </c>
      <c r="C3" s="2">
        <v>6</v>
      </c>
    </row>
    <row r="4" spans="1:13" x14ac:dyDescent="0.25">
      <c r="A4" s="4" t="s">
        <v>5</v>
      </c>
      <c r="B4" s="2">
        <v>88</v>
      </c>
      <c r="C4" s="2">
        <v>5</v>
      </c>
    </row>
    <row r="5" spans="1:13" x14ac:dyDescent="0.25">
      <c r="A5" s="4" t="s">
        <v>6</v>
      </c>
      <c r="B5" s="2">
        <v>69</v>
      </c>
      <c r="C5" s="2">
        <v>2</v>
      </c>
      <c r="I5" s="5"/>
    </row>
    <row r="6" spans="1:13" x14ac:dyDescent="0.25">
      <c r="A6" s="4" t="s">
        <v>7</v>
      </c>
      <c r="B6" s="2">
        <v>91</v>
      </c>
      <c r="C6" s="2">
        <v>6</v>
      </c>
      <c r="I6" s="5"/>
    </row>
    <row r="7" spans="1:13" x14ac:dyDescent="0.25">
      <c r="A7" s="4" t="s">
        <v>8</v>
      </c>
      <c r="B7" s="2">
        <v>67</v>
      </c>
      <c r="C7" s="2">
        <v>2</v>
      </c>
      <c r="I7" s="5"/>
      <c r="J7" s="5"/>
      <c r="K7" s="5"/>
      <c r="L7" s="5"/>
      <c r="M7" s="5"/>
    </row>
    <row r="8" spans="1:13" x14ac:dyDescent="0.25">
      <c r="A8" s="4" t="s">
        <v>9</v>
      </c>
      <c r="B8" s="2">
        <v>88</v>
      </c>
      <c r="C8" s="2">
        <v>5</v>
      </c>
      <c r="I8" s="5"/>
    </row>
    <row r="9" spans="1:13" x14ac:dyDescent="0.25">
      <c r="A9" s="4" t="s">
        <v>10</v>
      </c>
      <c r="B9" s="2">
        <v>74</v>
      </c>
      <c r="C9" s="2">
        <v>3</v>
      </c>
      <c r="I9" s="5"/>
    </row>
    <row r="10" spans="1:13" x14ac:dyDescent="0.25">
      <c r="A10" s="4" t="s">
        <v>11</v>
      </c>
      <c r="B10" s="2">
        <v>95</v>
      </c>
      <c r="C10" s="2">
        <v>7</v>
      </c>
      <c r="I10" s="5"/>
    </row>
    <row r="11" spans="1:13" x14ac:dyDescent="0.25">
      <c r="I11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Descritive statistics</vt:lpstr>
      <vt:lpstr>Regression analysis</vt:lpstr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2026-05-26T08:43:20Z</dcterms:created>
  <dcterms:modified xsi:type="dcterms:W3CDTF">2026-05-26T09:53:23Z</dcterms:modified>
</cp:coreProperties>
</file>