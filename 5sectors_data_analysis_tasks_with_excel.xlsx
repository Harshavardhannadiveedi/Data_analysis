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0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8.xml" ContentType="application/vnd.openxmlformats-officedocument.drawing+xml"/>
  <Override PartName="/xl/charts/chart1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2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drawings/drawing10.xml" ContentType="application/vnd.openxmlformats-officedocument.drawing+xml"/>
  <Override PartName="/xl/charts/chart24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25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aksm\Downloads\"/>
    </mc:Choice>
  </mc:AlternateContent>
  <xr:revisionPtr revIDLastSave="0" documentId="13_ncr:1_{C8E50665-AF2F-4F7A-BF69-304A8E8766E5}" xr6:coauthVersionLast="47" xr6:coauthVersionMax="47" xr10:uidLastSave="{00000000-0000-0000-0000-000000000000}"/>
  <bookViews>
    <workbookView xWindow="-96" yWindow="0" windowWidth="15324" windowHeight="12336" firstSheet="12" activeTab="14" xr2:uid="{00000000-000D-0000-FFFF-FFFF00000000}"/>
  </bookViews>
  <sheets>
    <sheet name="finance_ds" sheetId="6" r:id="rId1"/>
    <sheet name="Finance_ra" sheetId="11" r:id="rId2"/>
    <sheet name="Finance" sheetId="1" r:id="rId3"/>
    <sheet name="Healthcare_ds" sheetId="7" r:id="rId4"/>
    <sheet name="Healthcare_ra" sheetId="12" r:id="rId5"/>
    <sheet name="Healthcare" sheetId="2" r:id="rId6"/>
    <sheet name="IT_ds" sheetId="8" r:id="rId7"/>
    <sheet name="IT_RA" sheetId="13" r:id="rId8"/>
    <sheet name="IT" sheetId="3" r:id="rId9"/>
    <sheet name="Retail_ds" sheetId="9" r:id="rId10"/>
    <sheet name="Retail_ra" sheetId="14" r:id="rId11"/>
    <sheet name="Retail" sheetId="4" r:id="rId12"/>
    <sheet name="Manufacturing_ds" sheetId="10" r:id="rId13"/>
    <sheet name="Manufacturing_ra" sheetId="15" r:id="rId14"/>
    <sheet name="Manufacturing" sheetId="5" r:id="rId15"/>
  </sheets>
  <definedNames>
    <definedName name="_xlchart.v1.0" hidden="1">Healthcare!$B$2:$B$10</definedName>
    <definedName name="_xlchart.v1.1" hidden="1">Healthcare!$C$2:$C$10</definedName>
    <definedName name="_xlchart.v1.2" hidden="1">Healthcare!$B$2:$B$10</definedName>
    <definedName name="_xlchart.v1.3" hidden="1">Healthcare!$C$2:$C$10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5" l="1"/>
  <c r="H2" i="5"/>
  <c r="F2" i="5"/>
  <c r="I2" i="4"/>
  <c r="H2" i="4"/>
  <c r="F2" i="4"/>
  <c r="F2" i="3" a="1"/>
  <c r="F2" i="3" s="1"/>
  <c r="I2" i="3"/>
  <c r="H2" i="3"/>
  <c r="I2" i="2"/>
  <c r="H2" i="2"/>
  <c r="F2" i="2"/>
  <c r="I2" i="1"/>
  <c r="H2" i="1"/>
  <c r="F2" i="1"/>
  <c r="J2" i="5"/>
  <c r="G2" i="5"/>
  <c r="E2" i="5"/>
  <c r="D2" i="5"/>
  <c r="J2" i="4"/>
  <c r="G2" i="4"/>
  <c r="E2" i="4"/>
  <c r="D2" i="4"/>
  <c r="J2" i="3"/>
  <c r="G2" i="3"/>
  <c r="E2" i="3"/>
  <c r="D2" i="3"/>
  <c r="J2" i="2"/>
  <c r="G2" i="2"/>
  <c r="E2" i="2"/>
  <c r="D2" i="2"/>
  <c r="J2" i="1"/>
  <c r="G2" i="1"/>
  <c r="E2" i="1"/>
  <c r="D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<sst xmlns="http://schemas.openxmlformats.org/spreadsheetml/2006/main" count="335" uniqueCount="111">
  <si>
    <t>Employee</t>
  </si>
  <si>
    <t>Experience (Years)</t>
  </si>
  <si>
    <t>Salary (LPA)</t>
  </si>
  <si>
    <t>Mean</t>
  </si>
  <si>
    <t>Median</t>
  </si>
  <si>
    <t>Mode</t>
  </si>
  <si>
    <t>Range</t>
  </si>
  <si>
    <t>Variance</t>
  </si>
  <si>
    <t>Std Deviation</t>
  </si>
  <si>
    <t>Correlation</t>
  </si>
  <si>
    <t>Amit</t>
  </si>
  <si>
    <t>Priya</t>
  </si>
  <si>
    <t>Rahul</t>
  </si>
  <si>
    <t>Sneha</t>
  </si>
  <si>
    <t>Kiran</t>
  </si>
  <si>
    <t>Anjali</t>
  </si>
  <si>
    <t>Vikas</t>
  </si>
  <si>
    <t>Neha</t>
  </si>
  <si>
    <t>Rohan</t>
  </si>
  <si>
    <t>Doctor</t>
  </si>
  <si>
    <t>Patients Handled</t>
  </si>
  <si>
    <t>Performance Score</t>
  </si>
  <si>
    <t>Dr. Ravi</t>
  </si>
  <si>
    <t>Dr. Meena</t>
  </si>
  <si>
    <t>Dr. Arjun</t>
  </si>
  <si>
    <t>Dr. Kavya</t>
  </si>
  <si>
    <t>Dr. Sam</t>
  </si>
  <si>
    <t>Dr. Nisha</t>
  </si>
  <si>
    <t>Dr. Raj</t>
  </si>
  <si>
    <t>Dr. Pooja</t>
  </si>
  <si>
    <t>Dr. Hari</t>
  </si>
  <si>
    <t>Coding Hours</t>
  </si>
  <si>
    <t>Project Score</t>
  </si>
  <si>
    <t>Arun</t>
  </si>
  <si>
    <t>Venu</t>
  </si>
  <si>
    <t>Karthik</t>
  </si>
  <si>
    <t>Pavan</t>
  </si>
  <si>
    <t>Divya</t>
  </si>
  <si>
    <t>Keerthi</t>
  </si>
  <si>
    <t>Sai</t>
  </si>
  <si>
    <t>Lokesh</t>
  </si>
  <si>
    <t>Nandini</t>
  </si>
  <si>
    <t>Store</t>
  </si>
  <si>
    <t>Customer Visits</t>
  </si>
  <si>
    <t>Sales (₹K)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</si>
  <si>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</si>
  <si>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</si>
  <si>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</si>
  <si>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</si>
  <si>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</si>
  <si>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</si>
  <si>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</si>
  <si>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</si>
  <si>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</si>
  <si>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Worker</t>
  </si>
  <si>
    <t>Production Hours</t>
  </si>
  <si>
    <t>Units Produced</t>
  </si>
  <si>
    <t>Ramesh</t>
  </si>
  <si>
    <t>Suresh</t>
  </si>
  <si>
    <t>Mahesh</t>
  </si>
  <si>
    <t>Ganesh</t>
  </si>
  <si>
    <t>Naresh</t>
  </si>
  <si>
    <t>Dinesh</t>
  </si>
  <si>
    <t>Mukesh</t>
  </si>
  <si>
    <t>Rajesh</t>
  </si>
  <si>
    <t>Yogesh</t>
  </si>
  <si>
    <t>Standard Error</t>
  </si>
  <si>
    <t>Standard Deviation</t>
  </si>
  <si>
    <t>Sample Variance</t>
  </si>
  <si>
    <t>Kurtosis</t>
  </si>
  <si>
    <t>Skewness</t>
  </si>
  <si>
    <t>Minimum</t>
  </si>
  <si>
    <t>Maximum</t>
  </si>
  <si>
    <t>Sum</t>
  </si>
  <si>
    <t>Count</t>
  </si>
  <si>
    <t>Salary</t>
  </si>
  <si>
    <t>Performance score</t>
  </si>
  <si>
    <t>Project_Score</t>
  </si>
  <si>
    <t>Sales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</si>
  <si>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</si>
  <si>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</si>
  <si>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</si>
  <si>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</si>
  <si>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</si>
  <si>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</si>
  <si>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</si>
  <si>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</si>
  <si>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</si>
  <si>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</si>
  <si>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</si>
  <si>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</si>
  <si>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</si>
  <si>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</si>
  <si>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</si>
  <si>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</si>
  <si>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</si>
  <si>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</si>
  <si>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</si>
  <si>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</si>
  <si>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</si>
  <si>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</si>
  <si>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</si>
  <si>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</si>
  <si>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RESIDUAL OUTPUT</t>
  </si>
  <si>
    <t>Observation</t>
  </si>
  <si>
    <t>Predicted Y</t>
  </si>
  <si>
    <t>Residuals</t>
  </si>
  <si>
    <t>Standard Residuals</t>
  </si>
  <si>
    <t>PROBABILITY OUTPUT</t>
  </si>
  <si>
    <t>Percentile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</si>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</sst>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Continuous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2" fillId="0" borderId="0" xfId="0" applyFont="1" applyFill="1" applyBorder="1" applyAlignment="1"/>
    <xf numFmtId="0" fontId="2" fillId="0" borderId="1" xfId="0" applyFont="1" applyFill="1" applyBorder="1" applyAlignment="1"/>
    <xf numFmtId="0" fontId="2" fillId="0" borderId="2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Finance!$B$2:$B$10</c:f>
              <c:numCache>
                <c:formatCode>General</c:formatCode>
                <c:ptCount val="9"/>
                <c:pt idx="0">
                  <c:v>6</c:v>
                </c:pt>
                <c:pt idx="1">
                  <c:v>6</c:v>
                </c:pt>
                <c:pt idx="2">
                  <c:v>4</c:v>
                </c:pt>
                <c:pt idx="3">
                  <c:v>10</c:v>
                </c:pt>
                <c:pt idx="4">
                  <c:v>5</c:v>
                </c:pt>
                <c:pt idx="5">
                  <c:v>5</c:v>
                </c:pt>
                <c:pt idx="6">
                  <c:v>8</c:v>
                </c:pt>
                <c:pt idx="7">
                  <c:v>10</c:v>
                </c:pt>
                <c:pt idx="8">
                  <c:v>9</c:v>
                </c:pt>
              </c:numCache>
            </c:numRef>
          </c:xVal>
          <c:yVal>
            <c:numRef>
              <c:f>Finance_ra!$C$25:$C$33</c:f>
              <c:numCache>
                <c:formatCode>General</c:formatCode>
                <c:ptCount val="9"/>
                <c:pt idx="0">
                  <c:v>8.7460317460317469</c:v>
                </c:pt>
                <c:pt idx="1">
                  <c:v>-9.2539682539682531</c:v>
                </c:pt>
                <c:pt idx="2">
                  <c:v>-2.2063492063492092</c:v>
                </c:pt>
                <c:pt idx="3">
                  <c:v>-3.3492063492063266</c:v>
                </c:pt>
                <c:pt idx="4">
                  <c:v>4.2698412698412653</c:v>
                </c:pt>
                <c:pt idx="5">
                  <c:v>4.2698412698412653</c:v>
                </c:pt>
                <c:pt idx="6">
                  <c:v>-8.3015873015872899</c:v>
                </c:pt>
                <c:pt idx="7">
                  <c:v>16.650793650793673</c:v>
                </c:pt>
                <c:pt idx="8">
                  <c:v>-10.825396825396822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2D-4A8A-B97D-A2F733BFA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6079615"/>
        <c:axId val="1296075775"/>
      </c:scatterChart>
      <c:valAx>
        <c:axId val="12960796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96075775"/>
        <c:crosses val="autoZero"/>
        <c:crossBetween val="midCat"/>
      </c:valAx>
      <c:valAx>
        <c:axId val="129607577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96079615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1 Line Fit  Plot</a:t>
            </a:r>
          </a:p>
        </c:rich>
      </c:tx>
      <c:layout>
        <c:manualLayout>
          <c:xMode val="edge"/>
          <c:yMode val="edge"/>
          <c:x val="0.16940097331583551"/>
          <c:y val="4.8209366391184574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28575">
              <a:noFill/>
            </a:ln>
          </c:spPr>
          <c:xVal>
            <c:numRef>
              <c:f>Finance!$B$2:$B$10</c:f>
              <c:numCache>
                <c:formatCode>General</c:formatCode>
                <c:ptCount val="9"/>
                <c:pt idx="0">
                  <c:v>6</c:v>
                </c:pt>
                <c:pt idx="1">
                  <c:v>6</c:v>
                </c:pt>
                <c:pt idx="2">
                  <c:v>4</c:v>
                </c:pt>
                <c:pt idx="3">
                  <c:v>10</c:v>
                </c:pt>
                <c:pt idx="4">
                  <c:v>5</c:v>
                </c:pt>
                <c:pt idx="5">
                  <c:v>5</c:v>
                </c:pt>
                <c:pt idx="6">
                  <c:v>8</c:v>
                </c:pt>
                <c:pt idx="7">
                  <c:v>10</c:v>
                </c:pt>
                <c:pt idx="8">
                  <c:v>9</c:v>
                </c:pt>
              </c:numCache>
            </c:numRef>
          </c:xVal>
          <c:yVal>
            <c:numRef>
              <c:f>Finance!$C$2:$C$10</c:f>
              <c:numCache>
                <c:formatCode>General</c:formatCode>
                <c:ptCount val="9"/>
                <c:pt idx="0">
                  <c:v>84</c:v>
                </c:pt>
                <c:pt idx="1">
                  <c:v>66</c:v>
                </c:pt>
                <c:pt idx="2">
                  <c:v>44</c:v>
                </c:pt>
                <c:pt idx="3">
                  <c:v>130</c:v>
                </c:pt>
                <c:pt idx="4">
                  <c:v>65</c:v>
                </c:pt>
                <c:pt idx="5">
                  <c:v>65</c:v>
                </c:pt>
                <c:pt idx="6">
                  <c:v>96</c:v>
                </c:pt>
                <c:pt idx="7">
                  <c:v>150</c:v>
                </c:pt>
                <c:pt idx="8">
                  <c:v>108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148-451A-AD3C-1951891565CF}"/>
            </c:ext>
          </c:extLst>
        </c:ser>
        <c:ser>
          <c:idx val="1"/>
          <c:order val="1"/>
          <c:tx>
            <c:v>Predicted Y</c:v>
          </c:tx>
          <c:spPr>
            <a:ln w="28575">
              <a:noFill/>
            </a:ln>
          </c:spPr>
          <c:xVal>
            <c:numRef>
              <c:f>Finance!$B$2:$B$10</c:f>
              <c:numCache>
                <c:formatCode>General</c:formatCode>
                <c:ptCount val="9"/>
                <c:pt idx="0">
                  <c:v>6</c:v>
                </c:pt>
                <c:pt idx="1">
                  <c:v>6</c:v>
                </c:pt>
                <c:pt idx="2">
                  <c:v>4</c:v>
                </c:pt>
                <c:pt idx="3">
                  <c:v>10</c:v>
                </c:pt>
                <c:pt idx="4">
                  <c:v>5</c:v>
                </c:pt>
                <c:pt idx="5">
                  <c:v>5</c:v>
                </c:pt>
                <c:pt idx="6">
                  <c:v>8</c:v>
                </c:pt>
                <c:pt idx="7">
                  <c:v>10</c:v>
                </c:pt>
                <c:pt idx="8">
                  <c:v>9</c:v>
                </c:pt>
              </c:numCache>
            </c:numRef>
          </c:xVal>
          <c:yVal>
            <c:numRef>
              <c:f>Finance_ra!$B$25:$B$33</c:f>
              <c:numCache>
                <c:formatCode>General</c:formatCode>
                <c:ptCount val="9"/>
                <c:pt idx="0">
                  <c:v>75.253968253968253</c:v>
                </c:pt>
                <c:pt idx="1">
                  <c:v>75.253968253968253</c:v>
                </c:pt>
                <c:pt idx="2">
                  <c:v>46.206349206349209</c:v>
                </c:pt>
                <c:pt idx="3">
                  <c:v>133.34920634920633</c:v>
                </c:pt>
                <c:pt idx="4">
                  <c:v>60.730158730158735</c:v>
                </c:pt>
                <c:pt idx="5">
                  <c:v>60.730158730158735</c:v>
                </c:pt>
                <c:pt idx="6">
                  <c:v>104.30158730158729</c:v>
                </c:pt>
                <c:pt idx="7">
                  <c:v>133.34920634920633</c:v>
                </c:pt>
                <c:pt idx="8">
                  <c:v>118.82539682539682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148-451A-AD3C-195189156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6082015"/>
        <c:axId val="1296082975"/>
      </c:scatterChart>
      <c:valAx>
        <c:axId val="12960820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96082975"/>
        <c:crosses val="autoZero"/>
        <c:crossBetween val="midCat"/>
      </c:valAx>
      <c:valAx>
        <c:axId val="129608297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9608201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Normal Probability Plot</a:t>
            </a:r>
          </a:p>
        </c:rich>
      </c:tx>
      <c:layout>
        <c:manualLayout>
          <c:xMode val="edge"/>
          <c:yMode val="edge"/>
          <c:x val="0.17430555555555557"/>
          <c:y val="4.8010973936899862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Finance_ra!$F$25:$F$33</c:f>
              <c:numCache>
                <c:formatCode>General</c:formatCode>
                <c:ptCount val="9"/>
                <c:pt idx="0">
                  <c:v>5.5555555555555554</c:v>
                </c:pt>
                <c:pt idx="1">
                  <c:v>16.666666666666664</c:v>
                </c:pt>
                <c:pt idx="2">
                  <c:v>27.777777777777779</c:v>
                </c:pt>
                <c:pt idx="3">
                  <c:v>38.888888888888886</c:v>
                </c:pt>
                <c:pt idx="4">
                  <c:v>50</c:v>
                </c:pt>
                <c:pt idx="5">
                  <c:v>61.111111111111114</c:v>
                </c:pt>
                <c:pt idx="6">
                  <c:v>72.222222222222214</c:v>
                </c:pt>
                <c:pt idx="7">
                  <c:v>83.333333333333329</c:v>
                </c:pt>
                <c:pt idx="8">
                  <c:v>94.444444444444443</c:v>
                </c:pt>
              </c:numCache>
            </c:numRef>
          </c:xVal>
          <c:yVal>
            <c:numRef>
              <c:f>Finance_ra!$G$25:$G$33</c:f>
              <c:numCache>
                <c:formatCode>General</c:formatCode>
                <c:ptCount val="9"/>
                <c:pt idx="0">
                  <c:v>44</c:v>
                </c:pt>
                <c:pt idx="1">
                  <c:v>65</c:v>
                </c:pt>
                <c:pt idx="2">
                  <c:v>65</c:v>
                </c:pt>
                <c:pt idx="3">
                  <c:v>66</c:v>
                </c:pt>
                <c:pt idx="4">
                  <c:v>84</c:v>
                </c:pt>
                <c:pt idx="5">
                  <c:v>96</c:v>
                </c:pt>
                <c:pt idx="6">
                  <c:v>108</c:v>
                </c:pt>
                <c:pt idx="7">
                  <c:v>130</c:v>
                </c:pt>
                <c:pt idx="8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7A-472B-8145-B13884A21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6082015"/>
        <c:axId val="1296083455"/>
      </c:scatterChart>
      <c:valAx>
        <c:axId val="12960820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96083455"/>
        <c:crosses val="autoZero"/>
        <c:crossBetween val="midCat"/>
      </c:valAx>
      <c:valAx>
        <c:axId val="129608345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96082015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EXperience</c:v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Finance!$B$2:$B$11</c:f>
              <c:numCache>
                <c:formatCode>General</c:formatCode>
                <c:ptCount val="10"/>
                <c:pt idx="0">
                  <c:v>6</c:v>
                </c:pt>
                <c:pt idx="1">
                  <c:v>6</c:v>
                </c:pt>
                <c:pt idx="2">
                  <c:v>4</c:v>
                </c:pt>
                <c:pt idx="3">
                  <c:v>10</c:v>
                </c:pt>
                <c:pt idx="4">
                  <c:v>5</c:v>
                </c:pt>
                <c:pt idx="5">
                  <c:v>5</c:v>
                </c:pt>
                <c:pt idx="6">
                  <c:v>8</c:v>
                </c:pt>
                <c:pt idx="7">
                  <c:v>10</c:v>
                </c:pt>
                <c:pt idx="8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2C-4728-A8D3-E7F8FF6FA2FB}"/>
            </c:ext>
          </c:extLst>
        </c:ser>
        <c:ser>
          <c:idx val="1"/>
          <c:order val="1"/>
          <c:tx>
            <c:v>Salary</c:v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2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Finance!$C$2:$C$11</c:f>
              <c:numCache>
                <c:formatCode>General</c:formatCode>
                <c:ptCount val="10"/>
                <c:pt idx="0">
                  <c:v>84</c:v>
                </c:pt>
                <c:pt idx="1">
                  <c:v>66</c:v>
                </c:pt>
                <c:pt idx="2">
                  <c:v>44</c:v>
                </c:pt>
                <c:pt idx="3">
                  <c:v>130</c:v>
                </c:pt>
                <c:pt idx="4">
                  <c:v>65</c:v>
                </c:pt>
                <c:pt idx="5">
                  <c:v>65</c:v>
                </c:pt>
                <c:pt idx="6">
                  <c:v>96</c:v>
                </c:pt>
                <c:pt idx="7">
                  <c:v>150</c:v>
                </c:pt>
                <c:pt idx="8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2C-4728-A8D3-E7F8FF6FA2F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303138447"/>
        <c:axId val="1303138927"/>
        <c:axId val="0"/>
      </c:bar3DChart>
      <c:catAx>
        <c:axId val="13031384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138927"/>
        <c:crosses val="autoZero"/>
        <c:auto val="1"/>
        <c:lblAlgn val="ctr"/>
        <c:lblOffset val="100"/>
        <c:noMultiLvlLbl val="0"/>
      </c:catAx>
      <c:valAx>
        <c:axId val="130313892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303138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Finance!$B$2:$B$10</c:f>
              <c:numCache>
                <c:formatCode>General</c:formatCode>
                <c:ptCount val="9"/>
                <c:pt idx="0">
                  <c:v>6</c:v>
                </c:pt>
                <c:pt idx="1">
                  <c:v>6</c:v>
                </c:pt>
                <c:pt idx="2">
                  <c:v>4</c:v>
                </c:pt>
                <c:pt idx="3">
                  <c:v>10</c:v>
                </c:pt>
                <c:pt idx="4">
                  <c:v>5</c:v>
                </c:pt>
                <c:pt idx="5">
                  <c:v>5</c:v>
                </c:pt>
                <c:pt idx="6">
                  <c:v>8</c:v>
                </c:pt>
                <c:pt idx="7">
                  <c:v>10</c:v>
                </c:pt>
                <c:pt idx="8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6A-4313-83D9-337C8FB5F2F5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Finance!$C$2:$C$10</c:f>
              <c:numCache>
                <c:formatCode>General</c:formatCode>
                <c:ptCount val="9"/>
                <c:pt idx="0">
                  <c:v>84</c:v>
                </c:pt>
                <c:pt idx="1">
                  <c:v>66</c:v>
                </c:pt>
                <c:pt idx="2">
                  <c:v>44</c:v>
                </c:pt>
                <c:pt idx="3">
                  <c:v>130</c:v>
                </c:pt>
                <c:pt idx="4">
                  <c:v>65</c:v>
                </c:pt>
                <c:pt idx="5">
                  <c:v>65</c:v>
                </c:pt>
                <c:pt idx="6">
                  <c:v>96</c:v>
                </c:pt>
                <c:pt idx="7">
                  <c:v>150</c:v>
                </c:pt>
                <c:pt idx="8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6A-4313-83D9-337C8FB5F2F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Healthcare!$B$2:$B$10</c:f>
              <c:numCache>
                <c:formatCode>General</c:formatCode>
                <c:ptCount val="9"/>
                <c:pt idx="0">
                  <c:v>120</c:v>
                </c:pt>
                <c:pt idx="1">
                  <c:v>134</c:v>
                </c:pt>
                <c:pt idx="2">
                  <c:v>103</c:v>
                </c:pt>
                <c:pt idx="3">
                  <c:v>171</c:v>
                </c:pt>
                <c:pt idx="4">
                  <c:v>247</c:v>
                </c:pt>
                <c:pt idx="5">
                  <c:v>90</c:v>
                </c:pt>
                <c:pt idx="6">
                  <c:v>296</c:v>
                </c:pt>
                <c:pt idx="7">
                  <c:v>74</c:v>
                </c:pt>
                <c:pt idx="8">
                  <c:v>196</c:v>
                </c:pt>
              </c:numCache>
            </c:numRef>
          </c:xVal>
          <c:yVal>
            <c:numRef>
              <c:f>Healthcare_ra!$C$25:$C$33</c:f>
              <c:numCache>
                <c:formatCode>General</c:formatCode>
                <c:ptCount val="9"/>
                <c:pt idx="0">
                  <c:v>1.6808848854152956</c:v>
                </c:pt>
                <c:pt idx="1">
                  <c:v>-7.8455866119132764</c:v>
                </c:pt>
                <c:pt idx="2">
                  <c:v>-4.8941140106857404</c:v>
                </c:pt>
                <c:pt idx="3">
                  <c:v>12.405881573718375</c:v>
                </c:pt>
                <c:pt idx="4">
                  <c:v>1.976464873934745</c:v>
                </c:pt>
                <c:pt idx="5">
                  <c:v>-0.33381904888064184</c:v>
                </c:pt>
                <c:pt idx="6">
                  <c:v>-1.3661853667152286</c:v>
                </c:pt>
                <c:pt idx="7">
                  <c:v>4.1250055194948629</c:v>
                </c:pt>
                <c:pt idx="8">
                  <c:v>-5.7485318143683486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265-47E9-95B5-F66CADD08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2142063"/>
        <c:axId val="1332141583"/>
      </c:scatterChart>
      <c:valAx>
        <c:axId val="13321420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32141583"/>
        <c:crosses val="autoZero"/>
        <c:crossBetween val="midCat"/>
      </c:valAx>
      <c:valAx>
        <c:axId val="13321415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3214206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28575">
              <a:noFill/>
            </a:ln>
          </c:spPr>
          <c:xVal>
            <c:numRef>
              <c:f>Healthcare!$B$2:$B$10</c:f>
              <c:numCache>
                <c:formatCode>General</c:formatCode>
                <c:ptCount val="9"/>
                <c:pt idx="0">
                  <c:v>120</c:v>
                </c:pt>
                <c:pt idx="1">
                  <c:v>134</c:v>
                </c:pt>
                <c:pt idx="2">
                  <c:v>103</c:v>
                </c:pt>
                <c:pt idx="3">
                  <c:v>171</c:v>
                </c:pt>
                <c:pt idx="4">
                  <c:v>247</c:v>
                </c:pt>
                <c:pt idx="5">
                  <c:v>90</c:v>
                </c:pt>
                <c:pt idx="6">
                  <c:v>296</c:v>
                </c:pt>
                <c:pt idx="7">
                  <c:v>74</c:v>
                </c:pt>
                <c:pt idx="8">
                  <c:v>196</c:v>
                </c:pt>
              </c:numCache>
            </c:numRef>
          </c:xVal>
          <c:yVal>
            <c:numRef>
              <c:f>Healthcare!$C$2:$C$10</c:f>
              <c:numCache>
                <c:formatCode>General</c:formatCode>
                <c:ptCount val="9"/>
                <c:pt idx="0">
                  <c:v>81</c:v>
                </c:pt>
                <c:pt idx="1">
                  <c:v>71</c:v>
                </c:pt>
                <c:pt idx="2">
                  <c:v>75</c:v>
                </c:pt>
                <c:pt idx="3">
                  <c:v>90</c:v>
                </c:pt>
                <c:pt idx="4">
                  <c:v>77</c:v>
                </c:pt>
                <c:pt idx="5">
                  <c:v>80</c:v>
                </c:pt>
                <c:pt idx="6">
                  <c:v>72</c:v>
                </c:pt>
                <c:pt idx="7">
                  <c:v>85</c:v>
                </c:pt>
                <c:pt idx="8">
                  <c:v>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EFA-4AB0-AABD-F1953B268F50}"/>
            </c:ext>
          </c:extLst>
        </c:ser>
        <c:ser>
          <c:idx val="1"/>
          <c:order val="1"/>
          <c:tx>
            <c:v>Predicted Y</c:v>
          </c:tx>
          <c:spPr>
            <a:ln w="28575">
              <a:noFill/>
            </a:ln>
          </c:spPr>
          <c:xVal>
            <c:numRef>
              <c:f>Healthcare!$B$2:$B$10</c:f>
              <c:numCache>
                <c:formatCode>General</c:formatCode>
                <c:ptCount val="9"/>
                <c:pt idx="0">
                  <c:v>120</c:v>
                </c:pt>
                <c:pt idx="1">
                  <c:v>134</c:v>
                </c:pt>
                <c:pt idx="2">
                  <c:v>103</c:v>
                </c:pt>
                <c:pt idx="3">
                  <c:v>171</c:v>
                </c:pt>
                <c:pt idx="4">
                  <c:v>247</c:v>
                </c:pt>
                <c:pt idx="5">
                  <c:v>90</c:v>
                </c:pt>
                <c:pt idx="6">
                  <c:v>296</c:v>
                </c:pt>
                <c:pt idx="7">
                  <c:v>74</c:v>
                </c:pt>
                <c:pt idx="8">
                  <c:v>196</c:v>
                </c:pt>
              </c:numCache>
            </c:numRef>
          </c:xVal>
          <c:yVal>
            <c:numRef>
              <c:f>Healthcare_ra!$B$25:$B$33</c:f>
              <c:numCache>
                <c:formatCode>General</c:formatCode>
                <c:ptCount val="9"/>
                <c:pt idx="0">
                  <c:v>79.319115114584704</c:v>
                </c:pt>
                <c:pt idx="1">
                  <c:v>78.845586611913276</c:v>
                </c:pt>
                <c:pt idx="2">
                  <c:v>79.89411401068574</c:v>
                </c:pt>
                <c:pt idx="3">
                  <c:v>77.594118426281625</c:v>
                </c:pt>
                <c:pt idx="4">
                  <c:v>75.023535126065255</c:v>
                </c:pt>
                <c:pt idx="5">
                  <c:v>80.333819048880642</c:v>
                </c:pt>
                <c:pt idx="6">
                  <c:v>73.366185366715229</c:v>
                </c:pt>
                <c:pt idx="7">
                  <c:v>80.874994480505137</c:v>
                </c:pt>
                <c:pt idx="8">
                  <c:v>76.748531814368349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EFA-4AB0-AABD-F1953B268F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7254287"/>
        <c:axId val="1287253327"/>
      </c:scatterChart>
      <c:valAx>
        <c:axId val="12872542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87253327"/>
        <c:crosses val="autoZero"/>
        <c:crossBetween val="midCat"/>
      </c:valAx>
      <c:valAx>
        <c:axId val="128725332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8725428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Healthcare_ra!$F$25:$F$33</c:f>
              <c:numCache>
                <c:formatCode>General</c:formatCode>
                <c:ptCount val="9"/>
                <c:pt idx="0">
                  <c:v>5.5555555555555554</c:v>
                </c:pt>
                <c:pt idx="1">
                  <c:v>16.666666666666664</c:v>
                </c:pt>
                <c:pt idx="2">
                  <c:v>27.777777777777779</c:v>
                </c:pt>
                <c:pt idx="3">
                  <c:v>38.888888888888886</c:v>
                </c:pt>
                <c:pt idx="4">
                  <c:v>50</c:v>
                </c:pt>
                <c:pt idx="5">
                  <c:v>61.111111111111114</c:v>
                </c:pt>
                <c:pt idx="6">
                  <c:v>72.222222222222214</c:v>
                </c:pt>
                <c:pt idx="7">
                  <c:v>83.333333333333329</c:v>
                </c:pt>
                <c:pt idx="8">
                  <c:v>94.444444444444443</c:v>
                </c:pt>
              </c:numCache>
            </c:numRef>
          </c:xVal>
          <c:yVal>
            <c:numRef>
              <c:f>Healthcare_ra!$G$25:$G$33</c:f>
              <c:numCache>
                <c:formatCode>General</c:formatCode>
                <c:ptCount val="9"/>
                <c:pt idx="0">
                  <c:v>71</c:v>
                </c:pt>
                <c:pt idx="1">
                  <c:v>71</c:v>
                </c:pt>
                <c:pt idx="2">
                  <c:v>72</c:v>
                </c:pt>
                <c:pt idx="3">
                  <c:v>75</c:v>
                </c:pt>
                <c:pt idx="4">
                  <c:v>77</c:v>
                </c:pt>
                <c:pt idx="5">
                  <c:v>80</c:v>
                </c:pt>
                <c:pt idx="6">
                  <c:v>81</c:v>
                </c:pt>
                <c:pt idx="7">
                  <c:v>85</c:v>
                </c:pt>
                <c:pt idx="8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2D-459F-9DFA-7F080ACF2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7251887"/>
        <c:axId val="1398834544"/>
      </c:scatterChart>
      <c:valAx>
        <c:axId val="12872518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98834544"/>
        <c:crosses val="autoZero"/>
        <c:crossBetween val="midCat"/>
      </c:valAx>
      <c:valAx>
        <c:axId val="13988345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87251887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val>
            <c:numRef>
              <c:f>Healthcare!$B$2:$B$10</c:f>
              <c:numCache>
                <c:formatCode>General</c:formatCode>
                <c:ptCount val="9"/>
                <c:pt idx="0">
                  <c:v>120</c:v>
                </c:pt>
                <c:pt idx="1">
                  <c:v>134</c:v>
                </c:pt>
                <c:pt idx="2">
                  <c:v>103</c:v>
                </c:pt>
                <c:pt idx="3">
                  <c:v>171</c:v>
                </c:pt>
                <c:pt idx="4">
                  <c:v>247</c:v>
                </c:pt>
                <c:pt idx="5">
                  <c:v>90</c:v>
                </c:pt>
                <c:pt idx="6">
                  <c:v>296</c:v>
                </c:pt>
                <c:pt idx="7">
                  <c:v>74</c:v>
                </c:pt>
                <c:pt idx="8">
                  <c:v>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7-4289-8EFC-4F15B28F610F}"/>
            </c:ext>
          </c:extLst>
        </c:ser>
        <c:ser>
          <c:idx val="1"/>
          <c:order val="1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val>
            <c:numRef>
              <c:f>Healthcare!$C$2:$C$10</c:f>
              <c:numCache>
                <c:formatCode>General</c:formatCode>
                <c:ptCount val="9"/>
                <c:pt idx="0">
                  <c:v>81</c:v>
                </c:pt>
                <c:pt idx="1">
                  <c:v>71</c:v>
                </c:pt>
                <c:pt idx="2">
                  <c:v>75</c:v>
                </c:pt>
                <c:pt idx="3">
                  <c:v>90</c:v>
                </c:pt>
                <c:pt idx="4">
                  <c:v>77</c:v>
                </c:pt>
                <c:pt idx="5">
                  <c:v>80</c:v>
                </c:pt>
                <c:pt idx="6">
                  <c:v>72</c:v>
                </c:pt>
                <c:pt idx="7">
                  <c:v>85</c:v>
                </c:pt>
                <c:pt idx="8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A7-4289-8EFC-4F15B28F61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179140687"/>
        <c:axId val="1179140207"/>
        <c:axId val="0"/>
      </c:bar3DChart>
      <c:catAx>
        <c:axId val="11791406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140207"/>
        <c:crosses val="autoZero"/>
        <c:auto val="1"/>
        <c:lblAlgn val="ctr"/>
        <c:lblOffset val="100"/>
        <c:noMultiLvlLbl val="0"/>
      </c:catAx>
      <c:valAx>
        <c:axId val="117914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140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Healthcare!$B$2:$B$10</c:f>
              <c:numCache>
                <c:formatCode>General</c:formatCode>
                <c:ptCount val="9"/>
                <c:pt idx="0">
                  <c:v>120</c:v>
                </c:pt>
                <c:pt idx="1">
                  <c:v>134</c:v>
                </c:pt>
                <c:pt idx="2">
                  <c:v>103</c:v>
                </c:pt>
                <c:pt idx="3">
                  <c:v>171</c:v>
                </c:pt>
                <c:pt idx="4">
                  <c:v>247</c:v>
                </c:pt>
                <c:pt idx="5">
                  <c:v>90</c:v>
                </c:pt>
                <c:pt idx="6">
                  <c:v>296</c:v>
                </c:pt>
                <c:pt idx="7">
                  <c:v>74</c:v>
                </c:pt>
                <c:pt idx="8">
                  <c:v>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24-4F82-A207-33AE83B1D130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Healthcare!$C$2:$C$10</c:f>
              <c:numCache>
                <c:formatCode>General</c:formatCode>
                <c:ptCount val="9"/>
                <c:pt idx="0">
                  <c:v>81</c:v>
                </c:pt>
                <c:pt idx="1">
                  <c:v>71</c:v>
                </c:pt>
                <c:pt idx="2">
                  <c:v>75</c:v>
                </c:pt>
                <c:pt idx="3">
                  <c:v>90</c:v>
                </c:pt>
                <c:pt idx="4">
                  <c:v>77</c:v>
                </c:pt>
                <c:pt idx="5">
                  <c:v>80</c:v>
                </c:pt>
                <c:pt idx="6">
                  <c:v>72</c:v>
                </c:pt>
                <c:pt idx="7">
                  <c:v>85</c:v>
                </c:pt>
                <c:pt idx="8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24-4F82-A207-33AE83B1D13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IT!$B$2:$B$10</c:f>
              <c:numCache>
                <c:formatCode>General</c:formatCode>
                <c:ptCount val="9"/>
                <c:pt idx="0">
                  <c:v>5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4</c:v>
                </c:pt>
                <c:pt idx="5">
                  <c:v>7</c:v>
                </c:pt>
                <c:pt idx="6">
                  <c:v>6</c:v>
                </c:pt>
                <c:pt idx="7">
                  <c:v>2</c:v>
                </c:pt>
                <c:pt idx="8">
                  <c:v>10</c:v>
                </c:pt>
              </c:numCache>
            </c:numRef>
          </c:xVal>
          <c:yVal>
            <c:numRef>
              <c:f>IT_RA!$C$25:$C$33</c:f>
              <c:numCache>
                <c:formatCode>General</c:formatCode>
                <c:ptCount val="9"/>
                <c:pt idx="0">
                  <c:v>-9.9016853932584254</c:v>
                </c:pt>
                <c:pt idx="1">
                  <c:v>-4.9016853932584254</c:v>
                </c:pt>
                <c:pt idx="2">
                  <c:v>2.9719101123595522</c:v>
                </c:pt>
                <c:pt idx="3">
                  <c:v>19.845505617977523</c:v>
                </c:pt>
                <c:pt idx="4">
                  <c:v>9.2247191011235969</c:v>
                </c:pt>
                <c:pt idx="5">
                  <c:v>19.845505617977523</c:v>
                </c:pt>
                <c:pt idx="6">
                  <c:v>-15.028089887640448</c:v>
                </c:pt>
                <c:pt idx="7">
                  <c:v>-6.5224719101123583</c:v>
                </c:pt>
                <c:pt idx="8">
                  <c:v>-15.533707865168537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0F6-4FE0-AC58-C69E78411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9499872"/>
        <c:axId val="1399500352"/>
      </c:scatterChart>
      <c:valAx>
        <c:axId val="13994998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99500352"/>
        <c:crosses val="autoZero"/>
        <c:crossBetween val="midCat"/>
      </c:valAx>
      <c:valAx>
        <c:axId val="13995003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99499872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28575">
              <a:noFill/>
            </a:ln>
          </c:spPr>
          <c:xVal>
            <c:numRef>
              <c:f>IT!$B$2:$B$10</c:f>
              <c:numCache>
                <c:formatCode>General</c:formatCode>
                <c:ptCount val="9"/>
                <c:pt idx="0">
                  <c:v>5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4</c:v>
                </c:pt>
                <c:pt idx="5">
                  <c:v>7</c:v>
                </c:pt>
                <c:pt idx="6">
                  <c:v>6</c:v>
                </c:pt>
                <c:pt idx="7">
                  <c:v>2</c:v>
                </c:pt>
                <c:pt idx="8">
                  <c:v>10</c:v>
                </c:pt>
              </c:numCache>
            </c:numRef>
          </c:xVal>
          <c:yVal>
            <c:numRef>
              <c:f>IT!$C$2:$C$10</c:f>
              <c:numCache>
                <c:formatCode>General</c:formatCode>
                <c:ptCount val="9"/>
                <c:pt idx="0">
                  <c:v>50</c:v>
                </c:pt>
                <c:pt idx="1">
                  <c:v>55</c:v>
                </c:pt>
                <c:pt idx="2">
                  <c:v>72</c:v>
                </c:pt>
                <c:pt idx="3">
                  <c:v>98</c:v>
                </c:pt>
                <c:pt idx="4">
                  <c:v>60</c:v>
                </c:pt>
                <c:pt idx="5">
                  <c:v>98</c:v>
                </c:pt>
                <c:pt idx="6">
                  <c:v>54</c:v>
                </c:pt>
                <c:pt idx="7">
                  <c:v>26</c:v>
                </c:pt>
                <c:pt idx="8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D90-4B05-A225-B78B92E15293}"/>
            </c:ext>
          </c:extLst>
        </c:ser>
        <c:ser>
          <c:idx val="1"/>
          <c:order val="1"/>
          <c:tx>
            <c:v>Predicted Y</c:v>
          </c:tx>
          <c:spPr>
            <a:ln w="28575">
              <a:noFill/>
            </a:ln>
          </c:spPr>
          <c:xVal>
            <c:numRef>
              <c:f>IT!$B$2:$B$10</c:f>
              <c:numCache>
                <c:formatCode>General</c:formatCode>
                <c:ptCount val="9"/>
                <c:pt idx="0">
                  <c:v>5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4</c:v>
                </c:pt>
                <c:pt idx="5">
                  <c:v>7</c:v>
                </c:pt>
                <c:pt idx="6">
                  <c:v>6</c:v>
                </c:pt>
                <c:pt idx="7">
                  <c:v>2</c:v>
                </c:pt>
                <c:pt idx="8">
                  <c:v>10</c:v>
                </c:pt>
              </c:numCache>
            </c:numRef>
          </c:xVal>
          <c:yVal>
            <c:numRef>
              <c:f>IT_RA!$B$25:$B$33</c:f>
              <c:numCache>
                <c:formatCode>General</c:formatCode>
                <c:ptCount val="9"/>
                <c:pt idx="0">
                  <c:v>59.901685393258425</c:v>
                </c:pt>
                <c:pt idx="1">
                  <c:v>59.901685393258425</c:v>
                </c:pt>
                <c:pt idx="2">
                  <c:v>69.028089887640448</c:v>
                </c:pt>
                <c:pt idx="3">
                  <c:v>78.154494382022477</c:v>
                </c:pt>
                <c:pt idx="4">
                  <c:v>50.775280898876403</c:v>
                </c:pt>
                <c:pt idx="5">
                  <c:v>78.154494382022477</c:v>
                </c:pt>
                <c:pt idx="6">
                  <c:v>69.028089887640448</c:v>
                </c:pt>
                <c:pt idx="7">
                  <c:v>32.522471910112358</c:v>
                </c:pt>
                <c:pt idx="8">
                  <c:v>105.53370786516854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D90-4B05-A225-B78B92E15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3400816"/>
        <c:axId val="1393400336"/>
      </c:scatterChart>
      <c:valAx>
        <c:axId val="1393400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93400336"/>
        <c:crosses val="autoZero"/>
        <c:crossBetween val="midCat"/>
      </c:valAx>
      <c:valAx>
        <c:axId val="13934003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9340081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IT_RA!$F$25:$F$33</c:f>
              <c:numCache>
                <c:formatCode>General</c:formatCode>
                <c:ptCount val="9"/>
                <c:pt idx="0">
                  <c:v>5.5555555555555554</c:v>
                </c:pt>
                <c:pt idx="1">
                  <c:v>16.666666666666664</c:v>
                </c:pt>
                <c:pt idx="2">
                  <c:v>27.777777777777779</c:v>
                </c:pt>
                <c:pt idx="3">
                  <c:v>38.888888888888886</c:v>
                </c:pt>
                <c:pt idx="4">
                  <c:v>50</c:v>
                </c:pt>
                <c:pt idx="5">
                  <c:v>61.111111111111114</c:v>
                </c:pt>
                <c:pt idx="6">
                  <c:v>72.222222222222214</c:v>
                </c:pt>
                <c:pt idx="7">
                  <c:v>83.333333333333329</c:v>
                </c:pt>
                <c:pt idx="8">
                  <c:v>94.444444444444443</c:v>
                </c:pt>
              </c:numCache>
            </c:numRef>
          </c:xVal>
          <c:yVal>
            <c:numRef>
              <c:f>IT_RA!$G$25:$G$33</c:f>
              <c:numCache>
                <c:formatCode>General</c:formatCode>
                <c:ptCount val="9"/>
                <c:pt idx="0">
                  <c:v>26</c:v>
                </c:pt>
                <c:pt idx="1">
                  <c:v>50</c:v>
                </c:pt>
                <c:pt idx="2">
                  <c:v>54</c:v>
                </c:pt>
                <c:pt idx="3">
                  <c:v>55</c:v>
                </c:pt>
                <c:pt idx="4">
                  <c:v>60</c:v>
                </c:pt>
                <c:pt idx="5">
                  <c:v>72</c:v>
                </c:pt>
                <c:pt idx="6">
                  <c:v>90</c:v>
                </c:pt>
                <c:pt idx="7">
                  <c:v>98</c:v>
                </c:pt>
                <c:pt idx="8">
                  <c:v>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EC-4859-9069-BE4F3C1B7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3399856"/>
        <c:axId val="1393400816"/>
      </c:scatterChart>
      <c:valAx>
        <c:axId val="1393399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93400816"/>
        <c:crosses val="autoZero"/>
        <c:crossBetween val="midCat"/>
      </c:valAx>
      <c:valAx>
        <c:axId val="13934008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93399856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val>
            <c:numRef>
              <c:f>IT!$B$2:$B$10</c:f>
              <c:numCache>
                <c:formatCode>General</c:formatCode>
                <c:ptCount val="9"/>
                <c:pt idx="0">
                  <c:v>5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4</c:v>
                </c:pt>
                <c:pt idx="5">
                  <c:v>7</c:v>
                </c:pt>
                <c:pt idx="6">
                  <c:v>6</c:v>
                </c:pt>
                <c:pt idx="7">
                  <c:v>2</c:v>
                </c:pt>
                <c:pt idx="8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4C-40CD-B51B-9E3754F6DCE5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val>
            <c:numRef>
              <c:f>IT!$C$2:$C$10</c:f>
              <c:numCache>
                <c:formatCode>General</c:formatCode>
                <c:ptCount val="9"/>
                <c:pt idx="0">
                  <c:v>50</c:v>
                </c:pt>
                <c:pt idx="1">
                  <c:v>55</c:v>
                </c:pt>
                <c:pt idx="2">
                  <c:v>72</c:v>
                </c:pt>
                <c:pt idx="3">
                  <c:v>98</c:v>
                </c:pt>
                <c:pt idx="4">
                  <c:v>60</c:v>
                </c:pt>
                <c:pt idx="5">
                  <c:v>98</c:v>
                </c:pt>
                <c:pt idx="6">
                  <c:v>54</c:v>
                </c:pt>
                <c:pt idx="7">
                  <c:v>26</c:v>
                </c:pt>
                <c:pt idx="8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4C-40CD-B51B-9E3754F6DC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48349168"/>
        <c:axId val="1448343888"/>
      </c:barChart>
      <c:catAx>
        <c:axId val="144834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343888"/>
        <c:crosses val="autoZero"/>
        <c:auto val="1"/>
        <c:lblAlgn val="ctr"/>
        <c:lblOffset val="100"/>
        <c:noMultiLvlLbl val="0"/>
      </c:catAx>
      <c:valAx>
        <c:axId val="144834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34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IT!$B$2:$B$10</c:f>
              <c:numCache>
                <c:formatCode>General</c:formatCode>
                <c:ptCount val="9"/>
                <c:pt idx="0">
                  <c:v>5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4</c:v>
                </c:pt>
                <c:pt idx="5">
                  <c:v>7</c:v>
                </c:pt>
                <c:pt idx="6">
                  <c:v>6</c:v>
                </c:pt>
                <c:pt idx="7">
                  <c:v>2</c:v>
                </c:pt>
                <c:pt idx="8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C2-43CB-84CB-BBCB74AFD198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IT!$C$2:$C$10</c:f>
              <c:numCache>
                <c:formatCode>General</c:formatCode>
                <c:ptCount val="9"/>
                <c:pt idx="0">
                  <c:v>50</c:v>
                </c:pt>
                <c:pt idx="1">
                  <c:v>55</c:v>
                </c:pt>
                <c:pt idx="2">
                  <c:v>72</c:v>
                </c:pt>
                <c:pt idx="3">
                  <c:v>98</c:v>
                </c:pt>
                <c:pt idx="4">
                  <c:v>60</c:v>
                </c:pt>
                <c:pt idx="5">
                  <c:v>98</c:v>
                </c:pt>
                <c:pt idx="6">
                  <c:v>54</c:v>
                </c:pt>
                <c:pt idx="7">
                  <c:v>26</c:v>
                </c:pt>
                <c:pt idx="8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C2-43CB-84CB-BBCB74AFD19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Retail!$B$2:$B$10</c:f>
              <c:numCache>
                <c:formatCode>General</c:formatCode>
                <c:ptCount val="9"/>
                <c:pt idx="0">
                  <c:v>68</c:v>
                </c:pt>
                <c:pt idx="1">
                  <c:v>140</c:v>
                </c:pt>
                <c:pt idx="2">
                  <c:v>264</c:v>
                </c:pt>
                <c:pt idx="3">
                  <c:v>254</c:v>
                </c:pt>
                <c:pt idx="4">
                  <c:v>151</c:v>
                </c:pt>
                <c:pt idx="5">
                  <c:v>299</c:v>
                </c:pt>
                <c:pt idx="6">
                  <c:v>187</c:v>
                </c:pt>
                <c:pt idx="7">
                  <c:v>196</c:v>
                </c:pt>
                <c:pt idx="8">
                  <c:v>151</c:v>
                </c:pt>
              </c:numCache>
            </c:numRef>
          </c:xVal>
          <c:yVal>
            <c:numRef>
              <c:f>Retail_ra!$C$25:$C$33</c:f>
              <c:numCache>
                <c:formatCode>General</c:formatCode>
                <c:ptCount val="9"/>
                <c:pt idx="0">
                  <c:v>135.17597451473023</c:v>
                </c:pt>
                <c:pt idx="1">
                  <c:v>-209.51804323166789</c:v>
                </c:pt>
                <c:pt idx="2">
                  <c:v>340.17559287175754</c:v>
                </c:pt>
                <c:pt idx="3">
                  <c:v>837.71642866986849</c:v>
                </c:pt>
                <c:pt idx="4">
                  <c:v>-341.01296260958975</c:v>
                </c:pt>
                <c:pt idx="5">
                  <c:v>-819.21733242163054</c:v>
                </c:pt>
                <c:pt idx="6">
                  <c:v>-675.35997148278875</c:v>
                </c:pt>
                <c:pt idx="7">
                  <c:v>661.05327629891144</c:v>
                </c:pt>
                <c:pt idx="8">
                  <c:v>70.987037390410251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371-4915-ACDD-682842776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6011952"/>
        <c:axId val="1393399856"/>
      </c:scatterChart>
      <c:valAx>
        <c:axId val="1396011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93399856"/>
        <c:crosses val="autoZero"/>
        <c:crossBetween val="midCat"/>
      </c:valAx>
      <c:valAx>
        <c:axId val="13933998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96011952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28575">
              <a:noFill/>
            </a:ln>
          </c:spPr>
          <c:xVal>
            <c:numRef>
              <c:f>Retail!$B$2:$B$10</c:f>
              <c:numCache>
                <c:formatCode>General</c:formatCode>
                <c:ptCount val="9"/>
                <c:pt idx="0">
                  <c:v>68</c:v>
                </c:pt>
                <c:pt idx="1">
                  <c:v>140</c:v>
                </c:pt>
                <c:pt idx="2">
                  <c:v>264</c:v>
                </c:pt>
                <c:pt idx="3">
                  <c:v>254</c:v>
                </c:pt>
                <c:pt idx="4">
                  <c:v>151</c:v>
                </c:pt>
                <c:pt idx="5">
                  <c:v>299</c:v>
                </c:pt>
                <c:pt idx="6">
                  <c:v>187</c:v>
                </c:pt>
                <c:pt idx="7">
                  <c:v>196</c:v>
                </c:pt>
                <c:pt idx="8">
                  <c:v>151</c:v>
                </c:pt>
              </c:numCache>
            </c:numRef>
          </c:xVal>
          <c:yVal>
            <c:numRef>
              <c:f>Retail!$C$2:$C$10</c:f>
              <c:numCache>
                <c:formatCode>General</c:formatCode>
                <c:ptCount val="9"/>
                <c:pt idx="0">
                  <c:v>884</c:v>
                </c:pt>
                <c:pt idx="1">
                  <c:v>1400</c:v>
                </c:pt>
                <c:pt idx="2">
                  <c:v>3432</c:v>
                </c:pt>
                <c:pt idx="3">
                  <c:v>3810</c:v>
                </c:pt>
                <c:pt idx="4">
                  <c:v>1400</c:v>
                </c:pt>
                <c:pt idx="5">
                  <c:v>2691</c:v>
                </c:pt>
                <c:pt idx="6">
                  <c:v>1496</c:v>
                </c:pt>
                <c:pt idx="7">
                  <c:v>2940</c:v>
                </c:pt>
                <c:pt idx="8">
                  <c:v>1812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BFC-419A-82E9-731D663C022F}"/>
            </c:ext>
          </c:extLst>
        </c:ser>
        <c:ser>
          <c:idx val="1"/>
          <c:order val="1"/>
          <c:tx>
            <c:v>Predicted Y</c:v>
          </c:tx>
          <c:spPr>
            <a:ln w="28575">
              <a:noFill/>
            </a:ln>
          </c:spPr>
          <c:xVal>
            <c:numRef>
              <c:f>Retail!$B$2:$B$10</c:f>
              <c:numCache>
                <c:formatCode>General</c:formatCode>
                <c:ptCount val="9"/>
                <c:pt idx="0">
                  <c:v>68</c:v>
                </c:pt>
                <c:pt idx="1">
                  <c:v>140</c:v>
                </c:pt>
                <c:pt idx="2">
                  <c:v>264</c:v>
                </c:pt>
                <c:pt idx="3">
                  <c:v>254</c:v>
                </c:pt>
                <c:pt idx="4">
                  <c:v>151</c:v>
                </c:pt>
                <c:pt idx="5">
                  <c:v>299</c:v>
                </c:pt>
                <c:pt idx="6">
                  <c:v>187</c:v>
                </c:pt>
                <c:pt idx="7">
                  <c:v>196</c:v>
                </c:pt>
                <c:pt idx="8">
                  <c:v>151</c:v>
                </c:pt>
              </c:numCache>
            </c:numRef>
          </c:xVal>
          <c:yVal>
            <c:numRef>
              <c:f>Retail_ra!$B$25:$B$33</c:f>
              <c:numCache>
                <c:formatCode>General</c:formatCode>
                <c:ptCount val="9"/>
                <c:pt idx="0">
                  <c:v>748.82402548526977</c:v>
                </c:pt>
                <c:pt idx="1">
                  <c:v>1609.5180432316679</c:v>
                </c:pt>
                <c:pt idx="2">
                  <c:v>3091.8244071282425</c:v>
                </c:pt>
                <c:pt idx="3">
                  <c:v>2972.2835713301315</c:v>
                </c:pt>
                <c:pt idx="4">
                  <c:v>1741.0129626095897</c:v>
                </c:pt>
                <c:pt idx="5">
                  <c:v>3510.2173324216305</c:v>
                </c:pt>
                <c:pt idx="6">
                  <c:v>2171.3599714827888</c:v>
                </c:pt>
                <c:pt idx="7">
                  <c:v>2278.9467237010886</c:v>
                </c:pt>
                <c:pt idx="8">
                  <c:v>1741.0129626095897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BFC-419A-82E9-731D663C0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6011952"/>
        <c:axId val="1300492159"/>
      </c:scatterChart>
      <c:valAx>
        <c:axId val="1396011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0492159"/>
        <c:crosses val="autoZero"/>
        <c:crossBetween val="midCat"/>
      </c:valAx>
      <c:valAx>
        <c:axId val="130049215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9601195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Retail_ra!$F$25:$F$33</c:f>
              <c:numCache>
                <c:formatCode>General</c:formatCode>
                <c:ptCount val="9"/>
                <c:pt idx="0">
                  <c:v>5.5555555555555554</c:v>
                </c:pt>
                <c:pt idx="1">
                  <c:v>16.666666666666664</c:v>
                </c:pt>
                <c:pt idx="2">
                  <c:v>27.777777777777779</c:v>
                </c:pt>
                <c:pt idx="3">
                  <c:v>38.888888888888886</c:v>
                </c:pt>
                <c:pt idx="4">
                  <c:v>50</c:v>
                </c:pt>
                <c:pt idx="5">
                  <c:v>61.111111111111114</c:v>
                </c:pt>
                <c:pt idx="6">
                  <c:v>72.222222222222214</c:v>
                </c:pt>
                <c:pt idx="7">
                  <c:v>83.333333333333329</c:v>
                </c:pt>
                <c:pt idx="8">
                  <c:v>94.444444444444443</c:v>
                </c:pt>
              </c:numCache>
            </c:numRef>
          </c:xVal>
          <c:yVal>
            <c:numRef>
              <c:f>Retail_ra!$G$25:$G$33</c:f>
              <c:numCache>
                <c:formatCode>General</c:formatCode>
                <c:ptCount val="9"/>
                <c:pt idx="0">
                  <c:v>884</c:v>
                </c:pt>
                <c:pt idx="1">
                  <c:v>1400</c:v>
                </c:pt>
                <c:pt idx="2">
                  <c:v>1400</c:v>
                </c:pt>
                <c:pt idx="3">
                  <c:v>1496</c:v>
                </c:pt>
                <c:pt idx="4">
                  <c:v>1812</c:v>
                </c:pt>
                <c:pt idx="5">
                  <c:v>2691</c:v>
                </c:pt>
                <c:pt idx="6">
                  <c:v>2940</c:v>
                </c:pt>
                <c:pt idx="7">
                  <c:v>3432</c:v>
                </c:pt>
                <c:pt idx="8">
                  <c:v>3810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7C-4997-A502-800303BAE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874768"/>
        <c:axId val="1400875248"/>
      </c:scatterChart>
      <c:valAx>
        <c:axId val="1400874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00875248"/>
        <c:crosses val="autoZero"/>
        <c:crossBetween val="midCat"/>
      </c:valAx>
      <c:valAx>
        <c:axId val="14008752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00874768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val>
            <c:numRef>
              <c:f>Retail!$B$2:$B$10</c:f>
              <c:numCache>
                <c:formatCode>General</c:formatCode>
                <c:ptCount val="9"/>
                <c:pt idx="0">
                  <c:v>68</c:v>
                </c:pt>
                <c:pt idx="1">
                  <c:v>140</c:v>
                </c:pt>
                <c:pt idx="2">
                  <c:v>264</c:v>
                </c:pt>
                <c:pt idx="3">
                  <c:v>254</c:v>
                </c:pt>
                <c:pt idx="4">
                  <c:v>151</c:v>
                </c:pt>
                <c:pt idx="5">
                  <c:v>299</c:v>
                </c:pt>
                <c:pt idx="6">
                  <c:v>187</c:v>
                </c:pt>
                <c:pt idx="7">
                  <c:v>196</c:v>
                </c:pt>
                <c:pt idx="8">
                  <c:v>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83-4D85-8288-F6DC31605A90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val>
            <c:numRef>
              <c:f>Retail!$C$2:$C$10</c:f>
              <c:numCache>
                <c:formatCode>General</c:formatCode>
                <c:ptCount val="9"/>
                <c:pt idx="0">
                  <c:v>884</c:v>
                </c:pt>
                <c:pt idx="1">
                  <c:v>1400</c:v>
                </c:pt>
                <c:pt idx="2">
                  <c:v>3432</c:v>
                </c:pt>
                <c:pt idx="3">
                  <c:v>3810</c:v>
                </c:pt>
                <c:pt idx="4">
                  <c:v>1400</c:v>
                </c:pt>
                <c:pt idx="5">
                  <c:v>2691</c:v>
                </c:pt>
                <c:pt idx="6">
                  <c:v>1496</c:v>
                </c:pt>
                <c:pt idx="7">
                  <c:v>2940</c:v>
                </c:pt>
                <c:pt idx="8">
                  <c:v>1812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83-4D85-8288-F6DC31605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48342928"/>
        <c:axId val="1448336688"/>
        <c:axId val="0"/>
      </c:bar3DChart>
      <c:catAx>
        <c:axId val="14483429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336688"/>
        <c:crosses val="autoZero"/>
        <c:auto val="1"/>
        <c:lblAlgn val="ctr"/>
        <c:lblOffset val="100"/>
        <c:noMultiLvlLbl val="0"/>
      </c:catAx>
      <c:valAx>
        <c:axId val="144833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342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Retail!$B$2:$B$10</c:f>
              <c:numCache>
                <c:formatCode>General</c:formatCode>
                <c:ptCount val="9"/>
                <c:pt idx="0">
                  <c:v>68</c:v>
                </c:pt>
                <c:pt idx="1">
                  <c:v>140</c:v>
                </c:pt>
                <c:pt idx="2">
                  <c:v>264</c:v>
                </c:pt>
                <c:pt idx="3">
                  <c:v>254</c:v>
                </c:pt>
                <c:pt idx="4">
                  <c:v>151</c:v>
                </c:pt>
                <c:pt idx="5">
                  <c:v>299</c:v>
                </c:pt>
                <c:pt idx="6">
                  <c:v>187</c:v>
                </c:pt>
                <c:pt idx="7">
                  <c:v>196</c:v>
                </c:pt>
                <c:pt idx="8">
                  <c:v>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A4-43FC-9E0A-6D50D90BCA63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Retail!$C$2:$C$10</c:f>
              <c:numCache>
                <c:formatCode>General</c:formatCode>
                <c:ptCount val="9"/>
                <c:pt idx="0">
                  <c:v>884</c:v>
                </c:pt>
                <c:pt idx="1">
                  <c:v>1400</c:v>
                </c:pt>
                <c:pt idx="2">
                  <c:v>3432</c:v>
                </c:pt>
                <c:pt idx="3">
                  <c:v>3810</c:v>
                </c:pt>
                <c:pt idx="4">
                  <c:v>1400</c:v>
                </c:pt>
                <c:pt idx="5">
                  <c:v>2691</c:v>
                </c:pt>
                <c:pt idx="6">
                  <c:v>1496</c:v>
                </c:pt>
                <c:pt idx="7">
                  <c:v>2940</c:v>
                </c:pt>
                <c:pt idx="8">
                  <c:v>1812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A4-43FC-9E0A-6D50D90BCA6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Manufacturing!$B$2:$B$10</c:f>
              <c:numCache>
                <c:formatCode>General</c:formatCode>
                <c:ptCount val="9"/>
                <c:pt idx="0">
                  <c:v>3</c:v>
                </c:pt>
                <c:pt idx="1">
                  <c:v>4</c:v>
                </c:pt>
                <c:pt idx="2">
                  <c:v>8</c:v>
                </c:pt>
                <c:pt idx="3">
                  <c:v>7</c:v>
                </c:pt>
                <c:pt idx="4">
                  <c:v>10</c:v>
                </c:pt>
                <c:pt idx="5">
                  <c:v>9</c:v>
                </c:pt>
                <c:pt idx="6">
                  <c:v>4</c:v>
                </c:pt>
                <c:pt idx="7">
                  <c:v>4</c:v>
                </c:pt>
                <c:pt idx="8">
                  <c:v>10</c:v>
                </c:pt>
              </c:numCache>
            </c:numRef>
          </c:xVal>
          <c:yVal>
            <c:numRef>
              <c:f>Manufacturing_ra!$C$25:$C$33</c:f>
              <c:numCache>
                <c:formatCode>General</c:formatCode>
                <c:ptCount val="9"/>
                <c:pt idx="0">
                  <c:v>0.91695501730102791</c:v>
                </c:pt>
                <c:pt idx="1">
                  <c:v>12.190311418685113</c:v>
                </c:pt>
                <c:pt idx="2">
                  <c:v>13.283737024221452</c:v>
                </c:pt>
                <c:pt idx="3">
                  <c:v>5.01038062283736</c:v>
                </c:pt>
                <c:pt idx="4">
                  <c:v>-14.169550173010379</c:v>
                </c:pt>
                <c:pt idx="5">
                  <c:v>-3.4429065743944562</c:v>
                </c:pt>
                <c:pt idx="6">
                  <c:v>-11.809688581314887</c:v>
                </c:pt>
                <c:pt idx="7">
                  <c:v>-7.8096885813148873</c:v>
                </c:pt>
                <c:pt idx="8">
                  <c:v>5.8304498269896214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38D-444E-B7BF-D6852A80A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3397456"/>
        <c:axId val="1396011952"/>
      </c:scatterChart>
      <c:valAx>
        <c:axId val="1393397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96011952"/>
        <c:crosses val="autoZero"/>
        <c:crossBetween val="midCat"/>
      </c:valAx>
      <c:valAx>
        <c:axId val="13960119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93397456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28575">
              <a:noFill/>
            </a:ln>
          </c:spPr>
          <c:xVal>
            <c:numRef>
              <c:f>Manufacturing!$B$2:$B$10</c:f>
              <c:numCache>
                <c:formatCode>General</c:formatCode>
                <c:ptCount val="9"/>
                <c:pt idx="0">
                  <c:v>3</c:v>
                </c:pt>
                <c:pt idx="1">
                  <c:v>4</c:v>
                </c:pt>
                <c:pt idx="2">
                  <c:v>8</c:v>
                </c:pt>
                <c:pt idx="3">
                  <c:v>7</c:v>
                </c:pt>
                <c:pt idx="4">
                  <c:v>10</c:v>
                </c:pt>
                <c:pt idx="5">
                  <c:v>9</c:v>
                </c:pt>
                <c:pt idx="6">
                  <c:v>4</c:v>
                </c:pt>
                <c:pt idx="7">
                  <c:v>4</c:v>
                </c:pt>
                <c:pt idx="8">
                  <c:v>10</c:v>
                </c:pt>
              </c:numCache>
            </c:numRef>
          </c:xVal>
          <c:yVal>
            <c:numRef>
              <c:f>Manufacturing!$C$2:$C$10</c:f>
              <c:numCache>
                <c:formatCode>General</c:formatCode>
                <c:ptCount val="9"/>
                <c:pt idx="0">
                  <c:v>36</c:v>
                </c:pt>
                <c:pt idx="1">
                  <c:v>60</c:v>
                </c:pt>
                <c:pt idx="2">
                  <c:v>112</c:v>
                </c:pt>
                <c:pt idx="3">
                  <c:v>91</c:v>
                </c:pt>
                <c:pt idx="4">
                  <c:v>110</c:v>
                </c:pt>
                <c:pt idx="5">
                  <c:v>108</c:v>
                </c:pt>
                <c:pt idx="6">
                  <c:v>36</c:v>
                </c:pt>
                <c:pt idx="7">
                  <c:v>40</c:v>
                </c:pt>
                <c:pt idx="8">
                  <c:v>130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4CF-4CA6-94A0-0C1EB7A44BDB}"/>
            </c:ext>
          </c:extLst>
        </c:ser>
        <c:ser>
          <c:idx val="1"/>
          <c:order val="1"/>
          <c:tx>
            <c:v>Predicted Y</c:v>
          </c:tx>
          <c:spPr>
            <a:ln w="28575">
              <a:noFill/>
            </a:ln>
          </c:spPr>
          <c:xVal>
            <c:numRef>
              <c:f>Manufacturing!$B$2:$B$10</c:f>
              <c:numCache>
                <c:formatCode>General</c:formatCode>
                <c:ptCount val="9"/>
                <c:pt idx="0">
                  <c:v>3</c:v>
                </c:pt>
                <c:pt idx="1">
                  <c:v>4</c:v>
                </c:pt>
                <c:pt idx="2">
                  <c:v>8</c:v>
                </c:pt>
                <c:pt idx="3">
                  <c:v>7</c:v>
                </c:pt>
                <c:pt idx="4">
                  <c:v>10</c:v>
                </c:pt>
                <c:pt idx="5">
                  <c:v>9</c:v>
                </c:pt>
                <c:pt idx="6">
                  <c:v>4</c:v>
                </c:pt>
                <c:pt idx="7">
                  <c:v>4</c:v>
                </c:pt>
                <c:pt idx="8">
                  <c:v>10</c:v>
                </c:pt>
              </c:numCache>
            </c:numRef>
          </c:xVal>
          <c:yVal>
            <c:numRef>
              <c:f>Manufacturing_ra!$B$25:$B$33</c:f>
              <c:numCache>
                <c:formatCode>General</c:formatCode>
                <c:ptCount val="9"/>
                <c:pt idx="0">
                  <c:v>35.083044982698972</c:v>
                </c:pt>
                <c:pt idx="1">
                  <c:v>47.809688581314887</c:v>
                </c:pt>
                <c:pt idx="2">
                  <c:v>98.716262975778548</c:v>
                </c:pt>
                <c:pt idx="3">
                  <c:v>85.98961937716264</c:v>
                </c:pt>
                <c:pt idx="4">
                  <c:v>124.16955017301038</c:v>
                </c:pt>
                <c:pt idx="5">
                  <c:v>111.44290657439446</c:v>
                </c:pt>
                <c:pt idx="6">
                  <c:v>47.809688581314887</c:v>
                </c:pt>
                <c:pt idx="7">
                  <c:v>47.809688581314887</c:v>
                </c:pt>
                <c:pt idx="8">
                  <c:v>124.16955017301038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4CF-4CA6-94A0-0C1EB7A44B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2853328"/>
        <c:axId val="1393397456"/>
      </c:scatterChart>
      <c:valAx>
        <c:axId val="1402853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93397456"/>
        <c:crosses val="autoZero"/>
        <c:crossBetween val="midCat"/>
      </c:valAx>
      <c:valAx>
        <c:axId val="13933974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0285332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Manufacturing_ra!$F$25:$F$33</c:f>
              <c:numCache>
                <c:formatCode>General</c:formatCode>
                <c:ptCount val="9"/>
                <c:pt idx="0">
                  <c:v>5.5555555555555554</c:v>
                </c:pt>
                <c:pt idx="1">
                  <c:v>16.666666666666664</c:v>
                </c:pt>
                <c:pt idx="2">
                  <c:v>27.777777777777779</c:v>
                </c:pt>
                <c:pt idx="3">
                  <c:v>38.888888888888886</c:v>
                </c:pt>
                <c:pt idx="4">
                  <c:v>50</c:v>
                </c:pt>
                <c:pt idx="5">
                  <c:v>61.111111111111114</c:v>
                </c:pt>
                <c:pt idx="6">
                  <c:v>72.222222222222214</c:v>
                </c:pt>
                <c:pt idx="7">
                  <c:v>83.333333333333329</c:v>
                </c:pt>
                <c:pt idx="8">
                  <c:v>94.444444444444443</c:v>
                </c:pt>
              </c:numCache>
            </c:numRef>
          </c:xVal>
          <c:yVal>
            <c:numRef>
              <c:f>Manufacturing_ra!$G$25:$G$33</c:f>
              <c:numCache>
                <c:formatCode>General</c:formatCode>
                <c:ptCount val="9"/>
                <c:pt idx="0">
                  <c:v>36</c:v>
                </c:pt>
                <c:pt idx="1">
                  <c:v>36</c:v>
                </c:pt>
                <c:pt idx="2">
                  <c:v>40</c:v>
                </c:pt>
                <c:pt idx="3">
                  <c:v>60</c:v>
                </c:pt>
                <c:pt idx="4">
                  <c:v>91</c:v>
                </c:pt>
                <c:pt idx="5">
                  <c:v>108</c:v>
                </c:pt>
                <c:pt idx="6">
                  <c:v>110</c:v>
                </c:pt>
                <c:pt idx="7">
                  <c:v>112</c:v>
                </c:pt>
                <c:pt idx="8">
                  <c:v>130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65-439E-9231-833549E0C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2851888"/>
        <c:axId val="1402852848"/>
      </c:scatterChart>
      <c:valAx>
        <c:axId val="1402851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02852848"/>
        <c:crosses val="autoZero"/>
        <c:crossBetween val="midCat"/>
      </c:valAx>
      <c:valAx>
        <c:axId val="14028528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02851888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val>
            <c:numRef>
              <c:f>Manufacturing!$B$2:$B$10</c:f>
              <c:numCache>
                <c:formatCode>General</c:formatCode>
                <c:ptCount val="9"/>
                <c:pt idx="0">
                  <c:v>3</c:v>
                </c:pt>
                <c:pt idx="1">
                  <c:v>4</c:v>
                </c:pt>
                <c:pt idx="2">
                  <c:v>8</c:v>
                </c:pt>
                <c:pt idx="3">
                  <c:v>7</c:v>
                </c:pt>
                <c:pt idx="4">
                  <c:v>10</c:v>
                </c:pt>
                <c:pt idx="5">
                  <c:v>9</c:v>
                </c:pt>
                <c:pt idx="6">
                  <c:v>4</c:v>
                </c:pt>
                <c:pt idx="7">
                  <c:v>4</c:v>
                </c:pt>
                <c:pt idx="8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99-4195-B676-60CB9432A345}"/>
            </c:ext>
          </c:extLst>
        </c:ser>
        <c:ser>
          <c:idx val="1"/>
          <c:order val="1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val>
            <c:numRef>
              <c:f>Manufacturing!$C$2:$C$10</c:f>
              <c:numCache>
                <c:formatCode>General</c:formatCode>
                <c:ptCount val="9"/>
                <c:pt idx="0">
                  <c:v>36</c:v>
                </c:pt>
                <c:pt idx="1">
                  <c:v>60</c:v>
                </c:pt>
                <c:pt idx="2">
                  <c:v>112</c:v>
                </c:pt>
                <c:pt idx="3">
                  <c:v>91</c:v>
                </c:pt>
                <c:pt idx="4">
                  <c:v>110</c:v>
                </c:pt>
                <c:pt idx="5">
                  <c:v>108</c:v>
                </c:pt>
                <c:pt idx="6">
                  <c:v>36</c:v>
                </c:pt>
                <c:pt idx="7">
                  <c:v>40</c:v>
                </c:pt>
                <c:pt idx="8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99-4195-B676-60CB9432A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332388127"/>
        <c:axId val="1332383807"/>
        <c:axId val="0"/>
      </c:bar3DChart>
      <c:catAx>
        <c:axId val="13323881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383807"/>
        <c:crosses val="autoZero"/>
        <c:auto val="1"/>
        <c:lblAlgn val="ctr"/>
        <c:lblOffset val="100"/>
        <c:noMultiLvlLbl val="0"/>
      </c:catAx>
      <c:valAx>
        <c:axId val="133238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388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Manufacturing!$B$2:$B$10</c:f>
              <c:numCache>
                <c:formatCode>General</c:formatCode>
                <c:ptCount val="9"/>
                <c:pt idx="0">
                  <c:v>3</c:v>
                </c:pt>
                <c:pt idx="1">
                  <c:v>4</c:v>
                </c:pt>
                <c:pt idx="2">
                  <c:v>8</c:v>
                </c:pt>
                <c:pt idx="3">
                  <c:v>7</c:v>
                </c:pt>
                <c:pt idx="4">
                  <c:v>10</c:v>
                </c:pt>
                <c:pt idx="5">
                  <c:v>9</c:v>
                </c:pt>
                <c:pt idx="6">
                  <c:v>4</c:v>
                </c:pt>
                <c:pt idx="7">
                  <c:v>4</c:v>
                </c:pt>
                <c:pt idx="8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1-4EA8-AF15-E5E6D8B36694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Manufacturing!$C$2:$C$10</c:f>
              <c:numCache>
                <c:formatCode>General</c:formatCode>
                <c:ptCount val="9"/>
                <c:pt idx="0">
                  <c:v>36</c:v>
                </c:pt>
                <c:pt idx="1">
                  <c:v>60</c:v>
                </c:pt>
                <c:pt idx="2">
                  <c:v>112</c:v>
                </c:pt>
                <c:pt idx="3">
                  <c:v>91</c:v>
                </c:pt>
                <c:pt idx="4">
                  <c:v>110</c:v>
                </c:pt>
                <c:pt idx="5">
                  <c:v>108</c:v>
                </c:pt>
                <c:pt idx="6">
                  <c:v>36</c:v>
                </c:pt>
                <c:pt idx="7">
                  <c:v>40</c:v>
                </c:pt>
                <c:pt idx="8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F1-4EA8-AF15-E5E6D8B3669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251460</xdr:colOff>
      <xdr:row>0</xdr:row>
      <xdr:rowOff>175260</xdr:rowOff>
    </xdr:from>
    <xdr:to>
      <xdr:col>15</xdr:col>
      <xdr:colOff>251460</xdr:colOff>
      <xdr:row>10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2CCCCB-F66A-1F81-B669-678E16A3B5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472440</xdr:colOff>
      <xdr:row>1</xdr:row>
      <xdr:rowOff>15240</xdr:rowOff>
    </xdr:from>
    <xdr:to>
      <xdr:col>21</xdr:col>
      <xdr:colOff>472440</xdr:colOff>
      <xdr:row>11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DBD527-5647-2B58-CCA9-F37943CC9D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533400</xdr:colOff>
      <xdr:row>15</xdr:row>
      <xdr:rowOff>30480</xdr:rowOff>
    </xdr:from>
    <xdr:to>
      <xdr:col>16</xdr:col>
      <xdr:colOff>533400</xdr:colOff>
      <xdr:row>25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549CEC6-CBE0-187A-086D-882EE34C92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1181100</xdr:colOff>
      <xdr:row>12</xdr:row>
      <xdr:rowOff>57150</xdr:rowOff>
    </xdr:from>
    <xdr:to>
      <xdr:col>3</xdr:col>
      <xdr:colOff>1226820</xdr:colOff>
      <xdr:row>27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75916D-C06B-AA8F-4E3D-E6BE56C6DF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1272540</xdr:colOff>
      <xdr:row>12</xdr:row>
      <xdr:rowOff>41910</xdr:rowOff>
    </xdr:from>
    <xdr:to>
      <xdr:col>6</xdr:col>
      <xdr:colOff>1318260</xdr:colOff>
      <xdr:row>27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22E003C-43F0-F1C8-594E-662AE7D9C9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251460</xdr:colOff>
      <xdr:row>0</xdr:row>
      <xdr:rowOff>175260</xdr:rowOff>
    </xdr:from>
    <xdr:to>
      <xdr:col>15</xdr:col>
      <xdr:colOff>251460</xdr:colOff>
      <xdr:row>10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182277-EEDE-0EF0-7A1F-EFE230F480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251460</xdr:colOff>
      <xdr:row>2</xdr:row>
      <xdr:rowOff>175260</xdr:rowOff>
    </xdr:from>
    <xdr:to>
      <xdr:col>16</xdr:col>
      <xdr:colOff>251460</xdr:colOff>
      <xdr:row>12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5AFA5C-C8FE-0EFF-0917-16C5301A61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251460</xdr:colOff>
      <xdr:row>4</xdr:row>
      <xdr:rowOff>175260</xdr:rowOff>
    </xdr:from>
    <xdr:to>
      <xdr:col>17</xdr:col>
      <xdr:colOff>251460</xdr:colOff>
      <xdr:row>14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90E937-C932-D053-4204-2A27E0FCA3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201930</xdr:colOff>
      <xdr:row>10</xdr:row>
      <xdr:rowOff>41910</xdr:rowOff>
    </xdr:from>
    <xdr:to>
      <xdr:col>3</xdr:col>
      <xdr:colOff>247650</xdr:colOff>
      <xdr:row>25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1DC882-DAB8-487F-1A2A-34465FF7D7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194310</xdr:colOff>
      <xdr:row>10</xdr:row>
      <xdr:rowOff>26670</xdr:rowOff>
    </xdr:from>
    <xdr:to>
      <xdr:col>6</xdr:col>
      <xdr:colOff>240030</xdr:colOff>
      <xdr:row>25</xdr:row>
      <xdr:rowOff>26670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9029F8-D7F3-0D11-C83A-64082F7D47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251460</xdr:colOff>
      <xdr:row>0</xdr:row>
      <xdr:rowOff>175260</xdr:rowOff>
    </xdr:from>
    <xdr:to>
      <xdr:col>15</xdr:col>
      <xdr:colOff>251460</xdr:colOff>
      <xdr:row>10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09AAD2-8B2D-B1CC-3EB0-90D47042FF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251460</xdr:colOff>
      <xdr:row>2</xdr:row>
      <xdr:rowOff>175260</xdr:rowOff>
    </xdr:from>
    <xdr:to>
      <xdr:col>16</xdr:col>
      <xdr:colOff>251460</xdr:colOff>
      <xdr:row>12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E55842-86E0-52EA-1B27-0136F38336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251460</xdr:colOff>
      <xdr:row>4</xdr:row>
      <xdr:rowOff>175260</xdr:rowOff>
    </xdr:from>
    <xdr:to>
      <xdr:col>17</xdr:col>
      <xdr:colOff>251460</xdr:colOff>
      <xdr:row>14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6B8CDA0-F7C5-B701-5C7D-EBE8E926E3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133350</xdr:rowOff>
    </xdr:from>
    <xdr:to>
      <xdr:col>3</xdr:col>
      <xdr:colOff>45720</xdr:colOff>
      <xdr:row>26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36600B-EC4C-C730-73F8-38D0C8AF8B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41910</xdr:colOff>
      <xdr:row>11</xdr:row>
      <xdr:rowOff>49530</xdr:rowOff>
    </xdr:from>
    <xdr:to>
      <xdr:col>6</xdr:col>
      <xdr:colOff>87630</xdr:colOff>
      <xdr:row>26</xdr:row>
      <xdr:rowOff>49530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525AC3-376B-6560-DAE8-E2E447D1BE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251460</xdr:colOff>
      <xdr:row>0</xdr:row>
      <xdr:rowOff>175260</xdr:rowOff>
    </xdr:from>
    <xdr:to>
      <xdr:col>15</xdr:col>
      <xdr:colOff>251460</xdr:colOff>
      <xdr:row>10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01FFCE-5236-A948-1E9A-BD6ED3C44C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251460</xdr:colOff>
      <xdr:row>2</xdr:row>
      <xdr:rowOff>175260</xdr:rowOff>
    </xdr:from>
    <xdr:to>
      <xdr:col>16</xdr:col>
      <xdr:colOff>251460</xdr:colOff>
      <xdr:row>12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D2C763-05A4-F039-4F70-2325AB8610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251460</xdr:colOff>
      <xdr:row>4</xdr:row>
      <xdr:rowOff>175260</xdr:rowOff>
    </xdr:from>
    <xdr:to>
      <xdr:col>17</xdr:col>
      <xdr:colOff>251460</xdr:colOff>
      <xdr:row>14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1D7FA08-06DC-3F5B-4601-B3172E000C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133350</xdr:rowOff>
    </xdr:from>
    <xdr:to>
      <xdr:col>3</xdr:col>
      <xdr:colOff>45720</xdr:colOff>
      <xdr:row>26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AA5346-E815-DF1F-8D4B-7B19497555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72390</xdr:colOff>
      <xdr:row>11</xdr:row>
      <xdr:rowOff>64770</xdr:rowOff>
    </xdr:from>
    <xdr:to>
      <xdr:col>6</xdr:col>
      <xdr:colOff>118110</xdr:colOff>
      <xdr:row>26</xdr:row>
      <xdr:rowOff>64770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43235D-7753-FF7A-94C9-22E996AFD1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251460</xdr:colOff>
      <xdr:row>0</xdr:row>
      <xdr:rowOff>175260</xdr:rowOff>
    </xdr:from>
    <xdr:to>
      <xdr:col>15</xdr:col>
      <xdr:colOff>251460</xdr:colOff>
      <xdr:row>10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281E7E-D42B-2FE2-01C8-FDA8BAB542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251460</xdr:colOff>
      <xdr:row>2</xdr:row>
      <xdr:rowOff>175260</xdr:rowOff>
    </xdr:from>
    <xdr:to>
      <xdr:col>16</xdr:col>
      <xdr:colOff>251460</xdr:colOff>
      <xdr:row>12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94D657-AEE2-23AF-BA80-18AA3F6676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251460</xdr:colOff>
      <xdr:row>4</xdr:row>
      <xdr:rowOff>175260</xdr:rowOff>
    </xdr:from>
    <xdr:to>
      <xdr:col>17</xdr:col>
      <xdr:colOff>251460</xdr:colOff>
      <xdr:row>14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F7A7754-A733-B6D9-E1A0-284D899E8C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14</xdr:row>
      <xdr:rowOff>41910</xdr:rowOff>
    </xdr:from>
    <xdr:to>
      <xdr:col>3</xdr:col>
      <xdr:colOff>293370</xdr:colOff>
      <xdr:row>29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8764AA-1B60-524F-201C-71D9F05D45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262890</xdr:colOff>
      <xdr:row>13</xdr:row>
      <xdr:rowOff>179070</xdr:rowOff>
    </xdr:from>
    <xdr:to>
      <xdr:col>6</xdr:col>
      <xdr:colOff>308610</xdr:colOff>
      <xdr:row>28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6E126F-C367-5C72-A9C6-2C5E595753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FC78E-7B30-40F6-9567-20FE9C1130EB}">
  <dimension ref="A1:B15"/>
  <sheetViews>
    <sheetView workbookViewId="0">
      <selection activeCell="E21" sqref="E21"/>
    </sheetView>
  </sheetViews>
  <sheetFormatPr defaultRowHeight="14.4" x14ac:dyDescent="0.3"/>
  <cols>
    <col min="1" max="1" width="18.109375" customWidth="1"/>
  </cols>
  <sheetData>
    <row r="1" spans="1:2" x14ac:dyDescent="0.3">
      <c r="A1" s="8" t="s">
        <v>75</v>
      </c>
      <c r="B1" s="6"/>
    </row>
    <row r="2" spans="1:2" x14ac:dyDescent="0.3">
      <c r="A2" s="7"/>
    </row>
    <row r="3" spans="1:2" x14ac:dyDescent="0.3">
      <c r="A3" s="7" t="s">
        <v>3</v>
      </c>
      <c r="B3">
        <v>89.777777777777771</v>
      </c>
    </row>
    <row r="4" spans="1:2" x14ac:dyDescent="0.3">
      <c r="A4" s="7" t="s">
        <v>66</v>
      </c>
      <c r="B4">
        <v>11.509389618164647</v>
      </c>
    </row>
    <row r="5" spans="1:2" x14ac:dyDescent="0.3">
      <c r="A5" s="7" t="s">
        <v>4</v>
      </c>
      <c r="B5">
        <v>84</v>
      </c>
    </row>
    <row r="6" spans="1:2" x14ac:dyDescent="0.3">
      <c r="A6" s="7" t="s">
        <v>5</v>
      </c>
      <c r="B6">
        <v>65</v>
      </c>
    </row>
    <row r="7" spans="1:2" x14ac:dyDescent="0.3">
      <c r="A7" s="7" t="s">
        <v>67</v>
      </c>
      <c r="B7">
        <v>34.528168854493941</v>
      </c>
    </row>
    <row r="8" spans="1:2" x14ac:dyDescent="0.3">
      <c r="A8" s="7" t="s">
        <v>68</v>
      </c>
      <c r="B8">
        <v>1192.1944444444453</v>
      </c>
    </row>
    <row r="9" spans="1:2" x14ac:dyDescent="0.3">
      <c r="A9" s="7" t="s">
        <v>69</v>
      </c>
      <c r="B9">
        <v>-0.54821018150517897</v>
      </c>
    </row>
    <row r="10" spans="1:2" x14ac:dyDescent="0.3">
      <c r="A10" s="7" t="s">
        <v>70</v>
      </c>
      <c r="B10">
        <v>0.58477531074948863</v>
      </c>
    </row>
    <row r="11" spans="1:2" x14ac:dyDescent="0.3">
      <c r="A11" s="7" t="s">
        <v>6</v>
      </c>
      <c r="B11">
        <v>106</v>
      </c>
    </row>
    <row r="12" spans="1:2" x14ac:dyDescent="0.3">
      <c r="A12" s="7" t="s">
        <v>71</v>
      </c>
      <c r="B12">
        <v>44</v>
      </c>
    </row>
    <row r="13" spans="1:2" x14ac:dyDescent="0.3">
      <c r="A13" s="7" t="s">
        <v>72</v>
      </c>
      <c r="B13">
        <v>150</v>
      </c>
    </row>
    <row r="14" spans="1:2" x14ac:dyDescent="0.3">
      <c r="A14" s="7" t="s">
        <v>73</v>
      </c>
      <c r="B14">
        <v>808</v>
      </c>
    </row>
    <row r="15" spans="1:2" x14ac:dyDescent="0.3">
      <c r="A15" s="7" t="s">
        <v>74</v>
      </c>
      <c r="B15">
        <v>9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A41C3-8B10-455E-8B21-ECE4C7023B13}">
  <dimension ref="A1:I33"/>
  <sheetViews>
    <sheetView workbookViewId="0">
      <selection activeCell="N17" sqref="N17"/>
    </sheetView>
  </sheetViews>
  <sheetFormatPr defaultRowHeight="14.4" x14ac:dyDescent="0.3"/>
  <sheetData>
    <row r="1" spans="1:9" x14ac:dyDescent="0.3">
      <c r="A1" t="s">
        <v>79</v>
      </c>
    </row>
    <row r="2" spans="1:9" ht="15" thickBot="1" x14ac:dyDescent="0.35"/>
    <row r="3" spans="1:9" x14ac:dyDescent="0.3">
      <c r="A3" s="5" t="s">
        <v>80</v>
      </c>
      <c r="B3" s="5"/>
    </row>
    <row r="4" spans="1:9" x14ac:dyDescent="0.3">
      <c r="A4" s="2" t="s">
        <v>81</v>
      </c>
      <c r="B4" s="2">
        <v>0.96379939524819591</v>
      </c>
    </row>
    <row r="5" spans="1:9" x14ac:dyDescent="0.3">
      <c r="A5" s="2" t="s">
        <v>82</v>
      </c>
      <c r="B5" s="2">
        <v>0.92890927428078807</v>
      </c>
    </row>
    <row r="6" spans="1:9" x14ac:dyDescent="0.3">
      <c r="A6" s="2" t="s">
        <v>83</v>
      </c>
      <c r="B6" s="2">
        <v>0.91875345632090066</v>
      </c>
    </row>
    <row r="7" spans="1:9" x14ac:dyDescent="0.3">
      <c r="A7" s="2" t="s">
        <v>66</v>
      </c>
      <c r="B7" s="2">
        <v>9.8418330612002904</v>
      </c>
    </row>
    <row r="8" spans="1:9" ht="15" thickBot="1" x14ac:dyDescent="0.35">
      <c r="A8" s="3" t="s">
        <v>84</v>
      </c>
      <c r="B8" s="3">
        <v>9</v>
      </c>
    </row>
    <row r="10" spans="1:9" ht="15" thickBot="1" x14ac:dyDescent="0.35">
      <c r="A10" t="s">
        <v>85</v>
      </c>
    </row>
    <row r="11" spans="1:9" x14ac:dyDescent="0.3">
      <c r="A11" s="4"/>
      <c r="B11" s="4" t="s">
        <v>90</v>
      </c>
      <c r="C11" s="4" t="s">
        <v>91</v>
      </c>
      <c r="D11" s="4" t="s">
        <v>92</v>
      </c>
      <c r="E11" s="4" t="s">
        <v>93</v>
      </c>
      <c r="F11" s="4" t="s">
        <v>94</v>
      </c>
    </row>
    <row r="12" spans="1:9" x14ac:dyDescent="0.3">
      <c r="A12" s="2" t="s">
        <v>86</v>
      </c>
      <c r="B12" s="2">
        <v>1</v>
      </c>
      <c r="C12" s="2">
        <v>8859.5238095238092</v>
      </c>
      <c r="D12" s="2">
        <v>8859.5238095238092</v>
      </c>
      <c r="E12" s="2">
        <v>91.465727128008297</v>
      </c>
      <c r="F12" s="2">
        <v>2.8685171137172729E-5</v>
      </c>
    </row>
    <row r="13" spans="1:9" x14ac:dyDescent="0.3">
      <c r="A13" s="2" t="s">
        <v>87</v>
      </c>
      <c r="B13" s="2">
        <v>7</v>
      </c>
      <c r="C13" s="2">
        <v>678.03174603174557</v>
      </c>
      <c r="D13" s="2">
        <v>96.861678004535079</v>
      </c>
      <c r="E13" s="2"/>
      <c r="F13" s="2"/>
    </row>
    <row r="14" spans="1:9" ht="15" thickBot="1" x14ac:dyDescent="0.35">
      <c r="A14" s="3" t="s">
        <v>88</v>
      </c>
      <c r="B14" s="3">
        <v>8</v>
      </c>
      <c r="C14" s="3">
        <v>9537.5555555555547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95</v>
      </c>
      <c r="C16" s="4" t="s">
        <v>66</v>
      </c>
      <c r="D16" s="4" t="s">
        <v>96</v>
      </c>
      <c r="E16" s="4" t="s">
        <v>97</v>
      </c>
      <c r="F16" s="4" t="s">
        <v>98</v>
      </c>
      <c r="G16" s="4" t="s">
        <v>99</v>
      </c>
      <c r="H16" s="4" t="s">
        <v>100</v>
      </c>
      <c r="I16" s="4" t="s">
        <v>101</v>
      </c>
    </row>
    <row r="17" spans="1:9" x14ac:dyDescent="0.3">
      <c r="A17" s="2" t="s">
        <v>89</v>
      </c>
      <c r="B17" s="2">
        <v>-11.888888888888872</v>
      </c>
      <c r="C17" s="2">
        <v>11.12509324331538</v>
      </c>
      <c r="D17" s="2">
        <v>-1.0686552129378715</v>
      </c>
      <c r="E17" s="2">
        <v>0.32068602578969924</v>
      </c>
      <c r="F17" s="2">
        <v>-38.195554173263446</v>
      </c>
      <c r="G17" s="2">
        <v>14.417776395485706</v>
      </c>
      <c r="H17" s="2">
        <v>-38.195554173263446</v>
      </c>
      <c r="I17" s="2">
        <v>14.417776395485706</v>
      </c>
    </row>
    <row r="18" spans="1:9" ht="15" thickBot="1" x14ac:dyDescent="0.35">
      <c r="A18" s="3" t="s">
        <v>102</v>
      </c>
      <c r="B18" s="3">
        <v>14.52380952380952</v>
      </c>
      <c r="C18" s="3">
        <v>1.5186278111108749</v>
      </c>
      <c r="D18" s="3">
        <v>9.5637715953492037</v>
      </c>
      <c r="E18" s="3">
        <v>2.8685171137172776E-5</v>
      </c>
      <c r="F18" s="3">
        <v>10.932825372513479</v>
      </c>
      <c r="G18" s="3">
        <v>18.114793675105563</v>
      </c>
      <c r="H18" s="3">
        <v>10.932825372513479</v>
      </c>
      <c r="I18" s="3">
        <v>18.114793675105563</v>
      </c>
    </row>
    <row r="22" spans="1:9" x14ac:dyDescent="0.3">
      <c r="A22" t="s">
        <v>103</v>
      </c>
      <c r="F22" t="s">
        <v>108</v>
      </c>
    </row>
    <row r="23" spans="1:9" ht="15" thickBot="1" x14ac:dyDescent="0.35"/>
    <row r="24" spans="1:9" x14ac:dyDescent="0.3">
      <c r="A24" s="4" t="s">
        <v>104</v>
      </c>
      <c r="B24" s="4" t="s">
        <v>105</v>
      </c>
      <c r="C24" s="4" t="s">
        <v>106</v>
      </c>
      <c r="D24" s="4" t="s">
        <v>107</v>
      </c>
      <c r="F24" s="4" t="s">
        <v>109</v>
      </c>
      <c r="G24" s="4" t="s">
        <v>110</v>
      </c>
    </row>
    <row r="25" spans="1:9" x14ac:dyDescent="0.3">
      <c r="A25" s="2">
        <v>1</v>
      </c>
      <c r="B25" s="2">
        <v>75.253968253968253</v>
      </c>
      <c r="C25" s="2">
        <v>8.7460317460317469</v>
      </c>
      <c r="D25" s="2">
        <v>0.95001623852573625</v>
      </c>
      <c r="F25" s="2">
        <v>5.5555555555555554</v>
      </c>
      <c r="G25" s="2">
        <v>44</v>
      </c>
    </row>
    <row r="26" spans="1:9" x14ac:dyDescent="0.3">
      <c r="A26" s="2">
        <v>2</v>
      </c>
      <c r="B26" s="2">
        <v>75.253968253968253</v>
      </c>
      <c r="C26" s="2">
        <v>-9.2539682539682531</v>
      </c>
      <c r="D26" s="2">
        <v>-1.0051895953911145</v>
      </c>
      <c r="F26" s="2">
        <v>16.666666666666664</v>
      </c>
      <c r="G26" s="2">
        <v>65</v>
      </c>
    </row>
    <row r="27" spans="1:9" x14ac:dyDescent="0.3">
      <c r="A27" s="2">
        <v>3</v>
      </c>
      <c r="B27" s="2">
        <v>46.206349206349209</v>
      </c>
      <c r="C27" s="2">
        <v>-2.2063492063492092</v>
      </c>
      <c r="D27" s="2">
        <v>-0.23965926888398817</v>
      </c>
      <c r="F27" s="2">
        <v>27.777777777777779</v>
      </c>
      <c r="G27" s="2">
        <v>65</v>
      </c>
    </row>
    <row r="28" spans="1:9" x14ac:dyDescent="0.3">
      <c r="A28" s="2">
        <v>4</v>
      </c>
      <c r="B28" s="2">
        <v>133.34920634920633</v>
      </c>
      <c r="C28" s="2">
        <v>-3.3492063492063266</v>
      </c>
      <c r="D28" s="2">
        <v>-0.36379932183108704</v>
      </c>
      <c r="F28" s="2">
        <v>38.888888888888886</v>
      </c>
      <c r="G28" s="2">
        <v>66</v>
      </c>
    </row>
    <row r="29" spans="1:9" x14ac:dyDescent="0.3">
      <c r="A29" s="2">
        <v>5</v>
      </c>
      <c r="B29" s="2">
        <v>60.730158730158735</v>
      </c>
      <c r="C29" s="2">
        <v>4.2698412698412653</v>
      </c>
      <c r="D29" s="2">
        <v>0.46380103114958754</v>
      </c>
      <c r="F29" s="2">
        <v>50</v>
      </c>
      <c r="G29" s="2">
        <v>84</v>
      </c>
    </row>
    <row r="30" spans="1:9" x14ac:dyDescent="0.3">
      <c r="A30" s="2">
        <v>6</v>
      </c>
      <c r="B30" s="2">
        <v>60.730158730158735</v>
      </c>
      <c r="C30" s="2">
        <v>4.2698412698412653</v>
      </c>
      <c r="D30" s="2">
        <v>0.46380103114958754</v>
      </c>
      <c r="F30" s="2">
        <v>61.111111111111114</v>
      </c>
      <c r="G30" s="2">
        <v>96</v>
      </c>
    </row>
    <row r="31" spans="1:9" x14ac:dyDescent="0.3">
      <c r="A31" s="2">
        <v>7</v>
      </c>
      <c r="B31" s="2">
        <v>104.30158730158729</v>
      </c>
      <c r="C31" s="2">
        <v>-8.3015873015872899</v>
      </c>
      <c r="D31" s="2">
        <v>-0.90173955126852867</v>
      </c>
      <c r="F31" s="2">
        <v>72.222222222222214</v>
      </c>
      <c r="G31" s="2">
        <v>108</v>
      </c>
    </row>
    <row r="32" spans="1:9" x14ac:dyDescent="0.3">
      <c r="A32" s="2">
        <v>8</v>
      </c>
      <c r="B32" s="2">
        <v>133.34920634920633</v>
      </c>
      <c r="C32" s="2">
        <v>16.650793650793673</v>
      </c>
      <c r="D32" s="2">
        <v>1.8086516047431915</v>
      </c>
      <c r="F32" s="2">
        <v>83.333333333333329</v>
      </c>
      <c r="G32" s="2">
        <v>130</v>
      </c>
    </row>
    <row r="33" spans="1:7" ht="15" thickBot="1" x14ac:dyDescent="0.35">
      <c r="A33" s="3">
        <v>9</v>
      </c>
      <c r="B33" s="3">
        <v>118.82539682539682</v>
      </c>
      <c r="C33" s="3">
        <v>-10.825396825396822</v>
      </c>
      <c r="D33" s="3">
        <v>-1.1758821681933791</v>
      </c>
      <c r="F33" s="3">
        <v>94.444444444444443</v>
      </c>
      <c r="G33" s="3">
        <v>150</v>
      </c>
    </row>
  </sheetData>
  <sortState xmlns:xlrd2="http://schemas.microsoft.com/office/spreadsheetml/2017/richdata2" ref="G25:G33">
    <sortCondition ref="G25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opLeftCell="B20" workbookViewId="0">
      <selection activeCell="E11" sqref="E11"/>
    </sheetView>
  </sheetViews>
  <sheetFormatPr defaultRowHeight="14.4" x14ac:dyDescent="0.3"/>
  <cols>
    <col min="1" max="10" width="22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6</v>
      </c>
      <c r="C2">
        <v>84</v>
      </c>
      <c r="D2">
        <f>AVERAGE(C2:C10)</f>
        <v>89.777777777777771</v>
      </c>
      <c r="E2">
        <f>MEDIAN(C2:C10)</f>
        <v>84</v>
      </c>
      <c r="F2">
        <f>_xlfn.MODE.SNGL(C2:C10)</f>
        <v>65</v>
      </c>
      <c r="G2">
        <f>MAX(C2:C10)-MIN(C2:C10)</f>
        <v>106</v>
      </c>
      <c r="H2">
        <f>_xlfn.VAR.S(C2:C10)</f>
        <v>1192.1944444444453</v>
      </c>
      <c r="I2">
        <f>_xlfn.STDEV.S(C2:C10)</f>
        <v>34.528168854493941</v>
      </c>
      <c r="J2">
        <f>CORREL(B2:B10,C2:C10)</f>
        <v>0.9637993952481958</v>
      </c>
    </row>
    <row r="3" spans="1:10" x14ac:dyDescent="0.3">
      <c r="A3" t="s">
        <v>11</v>
      </c>
      <c r="B3">
        <v>6</v>
      </c>
      <c r="C3">
        <v>66</v>
      </c>
    </row>
    <row r="4" spans="1:10" x14ac:dyDescent="0.3">
      <c r="A4" t="s">
        <v>12</v>
      </c>
      <c r="B4">
        <v>4</v>
      </c>
      <c r="C4">
        <v>44</v>
      </c>
    </row>
    <row r="5" spans="1:10" x14ac:dyDescent="0.3">
      <c r="A5" t="s">
        <v>13</v>
      </c>
      <c r="B5">
        <v>10</v>
      </c>
      <c r="C5">
        <v>130</v>
      </c>
    </row>
    <row r="6" spans="1:10" x14ac:dyDescent="0.3">
      <c r="A6" t="s">
        <v>14</v>
      </c>
      <c r="B6">
        <v>5</v>
      </c>
      <c r="C6">
        <v>65</v>
      </c>
    </row>
    <row r="7" spans="1:10" x14ac:dyDescent="0.3">
      <c r="A7" t="s">
        <v>15</v>
      </c>
      <c r="B7">
        <v>5</v>
      </c>
      <c r="C7">
        <v>65</v>
      </c>
    </row>
    <row r="8" spans="1:10" x14ac:dyDescent="0.3">
      <c r="A8" t="s">
        <v>16</v>
      </c>
      <c r="B8">
        <v>8</v>
      </c>
      <c r="C8">
        <v>96</v>
      </c>
    </row>
    <row r="9" spans="1:10" x14ac:dyDescent="0.3">
      <c r="A9" t="s">
        <v>17</v>
      </c>
      <c r="B9">
        <v>10</v>
      </c>
      <c r="C9">
        <v>150</v>
      </c>
    </row>
    <row r="10" spans="1:10" x14ac:dyDescent="0.3">
      <c r="A10" t="s">
        <v>18</v>
      </c>
      <c r="B10">
        <v>9</v>
      </c>
      <c r="C10">
        <v>108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8812E-108C-47E2-AB29-EED0049EA6BE}">
  <dimension ref="A1:B15"/>
  <sheetViews>
    <sheetView workbookViewId="0">
      <selection activeCell="D13" sqref="D13"/>
    </sheetView>
  </sheetViews>
  <sheetFormatPr defaultRowHeight="14.4" x14ac:dyDescent="0.3"/>
  <cols>
    <col min="1" max="1" width="14.21875" customWidth="1"/>
  </cols>
  <sheetData>
    <row r="1" spans="1:2" x14ac:dyDescent="0.3">
      <c r="A1" s="12" t="s">
        <v>76</v>
      </c>
      <c r="B1" s="9"/>
    </row>
    <row r="2" spans="1:2" x14ac:dyDescent="0.3">
      <c r="A2" s="2"/>
      <c r="B2" s="2"/>
    </row>
    <row r="3" spans="1:2" x14ac:dyDescent="0.3">
      <c r="A3" s="10" t="s">
        <v>3</v>
      </c>
      <c r="B3" s="2">
        <v>78</v>
      </c>
    </row>
    <row r="4" spans="1:2" x14ac:dyDescent="0.3">
      <c r="A4" s="10" t="s">
        <v>66</v>
      </c>
      <c r="B4" s="2">
        <v>2.2047927592204921</v>
      </c>
    </row>
    <row r="5" spans="1:2" x14ac:dyDescent="0.3">
      <c r="A5" s="10" t="s">
        <v>4</v>
      </c>
      <c r="B5" s="2">
        <v>77</v>
      </c>
    </row>
    <row r="6" spans="1:2" x14ac:dyDescent="0.3">
      <c r="A6" s="10" t="s">
        <v>5</v>
      </c>
      <c r="B6" s="2">
        <v>71</v>
      </c>
    </row>
    <row r="7" spans="1:2" x14ac:dyDescent="0.3">
      <c r="A7" s="10" t="s">
        <v>67</v>
      </c>
      <c r="B7" s="2">
        <v>6.6143782776614763</v>
      </c>
    </row>
    <row r="8" spans="1:2" x14ac:dyDescent="0.3">
      <c r="A8" s="10" t="s">
        <v>68</v>
      </c>
      <c r="B8" s="2">
        <v>43.75</v>
      </c>
    </row>
    <row r="9" spans="1:2" x14ac:dyDescent="0.3">
      <c r="A9" s="10" t="s">
        <v>69</v>
      </c>
      <c r="B9" s="2">
        <v>-0.45518367346938771</v>
      </c>
    </row>
    <row r="10" spans="1:2" x14ac:dyDescent="0.3">
      <c r="A10" s="10" t="s">
        <v>70</v>
      </c>
      <c r="B10" s="2">
        <v>0.65312260935994471</v>
      </c>
    </row>
    <row r="11" spans="1:2" x14ac:dyDescent="0.3">
      <c r="A11" s="10" t="s">
        <v>6</v>
      </c>
      <c r="B11" s="2">
        <v>19</v>
      </c>
    </row>
    <row r="12" spans="1:2" x14ac:dyDescent="0.3">
      <c r="A12" s="10" t="s">
        <v>71</v>
      </c>
      <c r="B12" s="2">
        <v>71</v>
      </c>
    </row>
    <row r="13" spans="1:2" x14ac:dyDescent="0.3">
      <c r="A13" s="10" t="s">
        <v>72</v>
      </c>
      <c r="B13" s="2">
        <v>90</v>
      </c>
    </row>
    <row r="14" spans="1:2" x14ac:dyDescent="0.3">
      <c r="A14" s="10" t="s">
        <v>73</v>
      </c>
      <c r="B14" s="2">
        <v>702</v>
      </c>
    </row>
    <row r="15" spans="1:2" ht="15" thickBot="1" x14ac:dyDescent="0.35">
      <c r="A15" s="11" t="s">
        <v>74</v>
      </c>
      <c r="B15" s="3">
        <v>9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BE2F0-2556-4C5A-875E-52F9C4066706}">
  <dimension ref="A1:I33"/>
  <sheetViews>
    <sheetView topLeftCell="D27" workbookViewId="0">
      <selection sqref="A1:I33"/>
    </sheetView>
  </sheetViews>
  <sheetFormatPr defaultRowHeight="14.4" x14ac:dyDescent="0.3"/>
  <sheetData>
    <row r="1" spans="1:9" x14ac:dyDescent="0.3">
      <c r="A1" t="s">
        <v>79</v>
      </c>
    </row>
    <row r="2" spans="1:9" ht="15" thickBot="1" x14ac:dyDescent="0.35"/>
    <row r="3" spans="1:9" x14ac:dyDescent="0.3">
      <c r="A3" s="5" t="s">
        <v>80</v>
      </c>
      <c r="B3" s="5"/>
    </row>
    <row r="4" spans="1:9" x14ac:dyDescent="0.3">
      <c r="A4" s="2" t="s">
        <v>81</v>
      </c>
      <c r="B4" s="2">
        <v>0.38477283679760105</v>
      </c>
    </row>
    <row r="5" spans="1:9" x14ac:dyDescent="0.3">
      <c r="A5" s="2" t="s">
        <v>82</v>
      </c>
      <c r="B5" s="2">
        <v>0.14805013593727331</v>
      </c>
    </row>
    <row r="6" spans="1:9" x14ac:dyDescent="0.3">
      <c r="A6" s="2" t="s">
        <v>83</v>
      </c>
      <c r="B6" s="2">
        <v>2.6343012499740932E-2</v>
      </c>
    </row>
    <row r="7" spans="1:9" x14ac:dyDescent="0.3">
      <c r="A7" s="2" t="s">
        <v>66</v>
      </c>
      <c r="B7" s="2">
        <v>6.5266755092570925</v>
      </c>
    </row>
    <row r="8" spans="1:9" ht="15" thickBot="1" x14ac:dyDescent="0.35">
      <c r="A8" s="3" t="s">
        <v>84</v>
      </c>
      <c r="B8" s="3">
        <v>9</v>
      </c>
    </row>
    <row r="10" spans="1:9" ht="15" thickBot="1" x14ac:dyDescent="0.35">
      <c r="A10" t="s">
        <v>85</v>
      </c>
    </row>
    <row r="11" spans="1:9" x14ac:dyDescent="0.3">
      <c r="A11" s="4"/>
      <c r="B11" s="4" t="s">
        <v>90</v>
      </c>
      <c r="C11" s="4" t="s">
        <v>91</v>
      </c>
      <c r="D11" s="4" t="s">
        <v>92</v>
      </c>
      <c r="E11" s="4" t="s">
        <v>93</v>
      </c>
      <c r="F11" s="4" t="s">
        <v>94</v>
      </c>
    </row>
    <row r="12" spans="1:9" x14ac:dyDescent="0.3">
      <c r="A12" s="2" t="s">
        <v>86</v>
      </c>
      <c r="B12" s="2">
        <v>1</v>
      </c>
      <c r="C12" s="2">
        <v>51.817547578045662</v>
      </c>
      <c r="D12" s="2">
        <v>51.817547578045662</v>
      </c>
      <c r="E12" s="2">
        <v>1.2164459380494832</v>
      </c>
      <c r="F12" s="2">
        <v>0.30652746407147219</v>
      </c>
    </row>
    <row r="13" spans="1:9" x14ac:dyDescent="0.3">
      <c r="A13" s="2" t="s">
        <v>87</v>
      </c>
      <c r="B13" s="2">
        <v>7</v>
      </c>
      <c r="C13" s="2">
        <v>298.18245242195434</v>
      </c>
      <c r="D13" s="2">
        <v>42.597493203136331</v>
      </c>
      <c r="E13" s="2"/>
      <c r="F13" s="2"/>
    </row>
    <row r="14" spans="1:9" ht="15" thickBot="1" x14ac:dyDescent="0.35">
      <c r="A14" s="3" t="s">
        <v>88</v>
      </c>
      <c r="B14" s="3">
        <v>8</v>
      </c>
      <c r="C14" s="3">
        <v>350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95</v>
      </c>
      <c r="C16" s="4" t="s">
        <v>66</v>
      </c>
      <c r="D16" s="4" t="s">
        <v>96</v>
      </c>
      <c r="E16" s="4" t="s">
        <v>97</v>
      </c>
      <c r="F16" s="4" t="s">
        <v>98</v>
      </c>
      <c r="G16" s="4" t="s">
        <v>99</v>
      </c>
      <c r="H16" s="4" t="s">
        <v>100</v>
      </c>
      <c r="I16" s="4" t="s">
        <v>101</v>
      </c>
    </row>
    <row r="17" spans="1:9" x14ac:dyDescent="0.3">
      <c r="A17" s="2" t="s">
        <v>89</v>
      </c>
      <c r="B17" s="2">
        <v>83.37793085176844</v>
      </c>
      <c r="C17" s="2">
        <v>5.3393810848716772</v>
      </c>
      <c r="D17" s="2">
        <v>15.615654609858641</v>
      </c>
      <c r="E17" s="2">
        <v>1.0680779001738591E-6</v>
      </c>
      <c r="F17" s="2">
        <v>70.752300849985076</v>
      </c>
      <c r="G17" s="2">
        <v>96.003560853551804</v>
      </c>
      <c r="H17" s="2">
        <v>70.752300849985076</v>
      </c>
      <c r="I17" s="2">
        <v>96.003560853551804</v>
      </c>
    </row>
    <row r="18" spans="1:9" ht="15" thickBot="1" x14ac:dyDescent="0.35">
      <c r="A18" s="3" t="s">
        <v>102</v>
      </c>
      <c r="B18" s="3">
        <v>-3.3823464476531111E-2</v>
      </c>
      <c r="C18" s="3">
        <v>3.0667027544644638E-2</v>
      </c>
      <c r="D18" s="3">
        <v>-1.1029260800477443</v>
      </c>
      <c r="E18" s="3">
        <v>0.30652746407147219</v>
      </c>
      <c r="F18" s="3">
        <v>-0.10633946153286175</v>
      </c>
      <c r="G18" s="3">
        <v>3.8692532579799536E-2</v>
      </c>
      <c r="H18" s="3">
        <v>-0.10633946153286175</v>
      </c>
      <c r="I18" s="3">
        <v>3.8692532579799536E-2</v>
      </c>
    </row>
    <row r="22" spans="1:9" x14ac:dyDescent="0.3">
      <c r="A22" t="s">
        <v>103</v>
      </c>
      <c r="F22" t="s">
        <v>108</v>
      </c>
    </row>
    <row r="23" spans="1:9" ht="15" thickBot="1" x14ac:dyDescent="0.35"/>
    <row r="24" spans="1:9" x14ac:dyDescent="0.3">
      <c r="A24" s="4" t="s">
        <v>104</v>
      </c>
      <c r="B24" s="4" t="s">
        <v>105</v>
      </c>
      <c r="C24" s="4" t="s">
        <v>106</v>
      </c>
      <c r="D24" s="4" t="s">
        <v>107</v>
      </c>
      <c r="F24" s="4" t="s">
        <v>109</v>
      </c>
      <c r="G24" s="4" t="s">
        <v>110</v>
      </c>
    </row>
    <row r="25" spans="1:9" x14ac:dyDescent="0.3">
      <c r="A25" s="2">
        <v>1</v>
      </c>
      <c r="B25" s="2">
        <v>79.319115114584704</v>
      </c>
      <c r="C25" s="2">
        <v>1.6808848854152956</v>
      </c>
      <c r="D25" s="2">
        <v>0.27532263943610685</v>
      </c>
      <c r="F25" s="2">
        <v>5.5555555555555554</v>
      </c>
      <c r="G25" s="2">
        <v>71</v>
      </c>
    </row>
    <row r="26" spans="1:9" x14ac:dyDescent="0.3">
      <c r="A26" s="2">
        <v>2</v>
      </c>
      <c r="B26" s="2">
        <v>78.845586611913276</v>
      </c>
      <c r="C26" s="2">
        <v>-7.8455866119132764</v>
      </c>
      <c r="D26" s="2">
        <v>-1.2850776591895281</v>
      </c>
      <c r="F26" s="2">
        <v>16.666666666666664</v>
      </c>
      <c r="G26" s="2">
        <v>71</v>
      </c>
    </row>
    <row r="27" spans="1:9" x14ac:dyDescent="0.3">
      <c r="A27" s="2">
        <v>3</v>
      </c>
      <c r="B27" s="2">
        <v>79.89411401068574</v>
      </c>
      <c r="C27" s="2">
        <v>-4.8941140106857404</v>
      </c>
      <c r="D27" s="2">
        <v>-0.80163751772347724</v>
      </c>
      <c r="F27" s="2">
        <v>27.777777777777779</v>
      </c>
      <c r="G27" s="2">
        <v>72</v>
      </c>
    </row>
    <row r="28" spans="1:9" x14ac:dyDescent="0.3">
      <c r="A28" s="2">
        <v>4</v>
      </c>
      <c r="B28" s="2">
        <v>77.594118426281625</v>
      </c>
      <c r="C28" s="2">
        <v>12.405881573718375</v>
      </c>
      <c r="D28" s="2">
        <v>2.032036868821038</v>
      </c>
      <c r="F28" s="2">
        <v>38.888888888888886</v>
      </c>
      <c r="G28" s="2">
        <v>75</v>
      </c>
    </row>
    <row r="29" spans="1:9" x14ac:dyDescent="0.3">
      <c r="A29" s="2">
        <v>5</v>
      </c>
      <c r="B29" s="2">
        <v>75.023535126065255</v>
      </c>
      <c r="C29" s="2">
        <v>1.976464873934745</v>
      </c>
      <c r="D29" s="2">
        <v>0.32373753287097912</v>
      </c>
      <c r="F29" s="2">
        <v>50</v>
      </c>
      <c r="G29" s="2">
        <v>77</v>
      </c>
    </row>
    <row r="30" spans="1:9" x14ac:dyDescent="0.3">
      <c r="A30" s="2">
        <v>6</v>
      </c>
      <c r="B30" s="2">
        <v>80.333819048880642</v>
      </c>
      <c r="C30" s="2">
        <v>-0.33381904888064184</v>
      </c>
      <c r="D30" s="2">
        <v>-5.467830809196754E-2</v>
      </c>
      <c r="F30" s="2">
        <v>61.111111111111114</v>
      </c>
      <c r="G30" s="2">
        <v>80</v>
      </c>
    </row>
    <row r="31" spans="1:9" x14ac:dyDescent="0.3">
      <c r="A31" s="2">
        <v>7</v>
      </c>
      <c r="B31" s="2">
        <v>73.366185366715229</v>
      </c>
      <c r="C31" s="2">
        <v>-1.3661853667152286</v>
      </c>
      <c r="D31" s="2">
        <v>-0.22377603867268347</v>
      </c>
      <c r="F31" s="2">
        <v>72.222222222222214</v>
      </c>
      <c r="G31" s="2">
        <v>81</v>
      </c>
    </row>
    <row r="32" spans="1:9" x14ac:dyDescent="0.3">
      <c r="A32" s="2">
        <v>8</v>
      </c>
      <c r="B32" s="2">
        <v>80.874994480505137</v>
      </c>
      <c r="C32" s="2">
        <v>4.1250055194948629</v>
      </c>
      <c r="D32" s="2">
        <v>0.67566043169888823</v>
      </c>
      <c r="F32" s="2">
        <v>83.333333333333329</v>
      </c>
      <c r="G32" s="2">
        <v>85</v>
      </c>
    </row>
    <row r="33" spans="1:7" ht="15" thickBot="1" x14ac:dyDescent="0.35">
      <c r="A33" s="3">
        <v>9</v>
      </c>
      <c r="B33" s="3">
        <v>76.748531814368349</v>
      </c>
      <c r="C33" s="3">
        <v>-5.7485318143683486</v>
      </c>
      <c r="D33" s="3">
        <v>-0.94158794914934862</v>
      </c>
      <c r="F33" s="3">
        <v>94.444444444444443</v>
      </c>
      <c r="G33" s="3">
        <v>90</v>
      </c>
    </row>
  </sheetData>
  <sortState xmlns:xlrd2="http://schemas.microsoft.com/office/spreadsheetml/2017/richdata2" ref="G25:G33">
    <sortCondition ref="G25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"/>
  <sheetViews>
    <sheetView topLeftCell="A18" workbookViewId="0">
      <selection activeCell="E6" sqref="E6"/>
    </sheetView>
  </sheetViews>
  <sheetFormatPr defaultRowHeight="14.4" x14ac:dyDescent="0.3"/>
  <cols>
    <col min="1" max="10" width="22" customWidth="1"/>
  </cols>
  <sheetData>
    <row r="1" spans="1:10" x14ac:dyDescent="0.3">
      <c r="A1" s="1" t="s">
        <v>19</v>
      </c>
      <c r="B1" s="1" t="s">
        <v>20</v>
      </c>
      <c r="C1" s="1" t="s">
        <v>21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22</v>
      </c>
      <c r="B2">
        <v>120</v>
      </c>
      <c r="C2">
        <v>81</v>
      </c>
      <c r="D2">
        <f>AVERAGE(C2:C10)</f>
        <v>78</v>
      </c>
      <c r="E2">
        <f>MEDIAN(C2:C10)</f>
        <v>77</v>
      </c>
      <c r="F2">
        <f>_xlfn.MODE.SNGL(C2:C10)</f>
        <v>71</v>
      </c>
      <c r="G2">
        <f>MAX(C2:C10)-MIN(C2:C10)</f>
        <v>19</v>
      </c>
      <c r="H2">
        <f>_xlfn.VAR.S(C2:C10)</f>
        <v>43.75</v>
      </c>
      <c r="I2">
        <f>_xlfn.STDEV.S(C2:C10)</f>
        <v>6.6143782776614763</v>
      </c>
      <c r="J2">
        <f>CORREL(B2:B10,C2:C10)</f>
        <v>-0.38477283679760099</v>
      </c>
    </row>
    <row r="3" spans="1:10" x14ac:dyDescent="0.3">
      <c r="A3" t="s">
        <v>23</v>
      </c>
      <c r="B3">
        <v>134</v>
      </c>
      <c r="C3">
        <v>71</v>
      </c>
    </row>
    <row r="4" spans="1:10" x14ac:dyDescent="0.3">
      <c r="A4" t="s">
        <v>24</v>
      </c>
      <c r="B4">
        <v>103</v>
      </c>
      <c r="C4">
        <v>75</v>
      </c>
    </row>
    <row r="5" spans="1:10" x14ac:dyDescent="0.3">
      <c r="A5" t="s">
        <v>25</v>
      </c>
      <c r="B5">
        <v>171</v>
      </c>
      <c r="C5">
        <v>90</v>
      </c>
    </row>
    <row r="6" spans="1:10" x14ac:dyDescent="0.3">
      <c r="A6" t="s">
        <v>26</v>
      </c>
      <c r="B6">
        <v>247</v>
      </c>
      <c r="C6">
        <v>77</v>
      </c>
    </row>
    <row r="7" spans="1:10" x14ac:dyDescent="0.3">
      <c r="A7" t="s">
        <v>27</v>
      </c>
      <c r="B7">
        <v>90</v>
      </c>
      <c r="C7">
        <v>80</v>
      </c>
    </row>
    <row r="8" spans="1:10" x14ac:dyDescent="0.3">
      <c r="A8" t="s">
        <v>28</v>
      </c>
      <c r="B8">
        <v>296</v>
      </c>
      <c r="C8">
        <v>72</v>
      </c>
    </row>
    <row r="9" spans="1:10" x14ac:dyDescent="0.3">
      <c r="A9" t="s">
        <v>29</v>
      </c>
      <c r="B9">
        <v>74</v>
      </c>
      <c r="C9">
        <v>85</v>
      </c>
    </row>
    <row r="10" spans="1:10" x14ac:dyDescent="0.3">
      <c r="A10" t="s">
        <v>30</v>
      </c>
      <c r="B10">
        <v>196</v>
      </c>
      <c r="C10">
        <v>71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AE721-1BB4-4CA4-A099-0D31912EF449}">
  <dimension ref="A1:B15"/>
  <sheetViews>
    <sheetView workbookViewId="0">
      <selection activeCell="D16" sqref="D16"/>
    </sheetView>
  </sheetViews>
  <sheetFormatPr defaultRowHeight="14.4" x14ac:dyDescent="0.3"/>
  <cols>
    <col min="1" max="1" width="14" customWidth="1"/>
  </cols>
  <sheetData>
    <row r="1" spans="1:2" x14ac:dyDescent="0.3">
      <c r="A1" s="12" t="s">
        <v>77</v>
      </c>
      <c r="B1" s="9"/>
    </row>
    <row r="2" spans="1:2" x14ac:dyDescent="0.3">
      <c r="A2" s="2"/>
      <c r="B2" s="2"/>
    </row>
    <row r="3" spans="1:2" x14ac:dyDescent="0.3">
      <c r="A3" s="10" t="s">
        <v>3</v>
      </c>
      <c r="B3" s="2">
        <v>67</v>
      </c>
    </row>
    <row r="4" spans="1:2" x14ac:dyDescent="0.3">
      <c r="A4" s="10" t="s">
        <v>66</v>
      </c>
      <c r="B4" s="2">
        <v>8.1717671147541751</v>
      </c>
    </row>
    <row r="5" spans="1:2" x14ac:dyDescent="0.3">
      <c r="A5" s="10" t="s">
        <v>4</v>
      </c>
      <c r="B5" s="2">
        <v>60</v>
      </c>
    </row>
    <row r="6" spans="1:2" x14ac:dyDescent="0.3">
      <c r="A6" s="10" t="s">
        <v>5</v>
      </c>
      <c r="B6" s="2">
        <v>98</v>
      </c>
    </row>
    <row r="7" spans="1:2" x14ac:dyDescent="0.3">
      <c r="A7" s="10" t="s">
        <v>67</v>
      </c>
      <c r="B7" s="2">
        <v>24.515301344262525</v>
      </c>
    </row>
    <row r="8" spans="1:2" x14ac:dyDescent="0.3">
      <c r="A8" s="10" t="s">
        <v>68</v>
      </c>
      <c r="B8" s="2">
        <v>601</v>
      </c>
    </row>
    <row r="9" spans="1:2" x14ac:dyDescent="0.3">
      <c r="A9" s="10" t="s">
        <v>69</v>
      </c>
      <c r="B9" s="2">
        <v>-0.79793996773462528</v>
      </c>
    </row>
    <row r="10" spans="1:2" x14ac:dyDescent="0.3">
      <c r="A10" s="10" t="s">
        <v>70</v>
      </c>
      <c r="B10" s="2">
        <v>-6.7934655642297961E-2</v>
      </c>
    </row>
    <row r="11" spans="1:2" x14ac:dyDescent="0.3">
      <c r="A11" s="10" t="s">
        <v>6</v>
      </c>
      <c r="B11" s="2">
        <v>72</v>
      </c>
    </row>
    <row r="12" spans="1:2" x14ac:dyDescent="0.3">
      <c r="A12" s="10" t="s">
        <v>71</v>
      </c>
      <c r="B12" s="2">
        <v>26</v>
      </c>
    </row>
    <row r="13" spans="1:2" x14ac:dyDescent="0.3">
      <c r="A13" s="10" t="s">
        <v>72</v>
      </c>
      <c r="B13" s="2">
        <v>98</v>
      </c>
    </row>
    <row r="14" spans="1:2" x14ac:dyDescent="0.3">
      <c r="A14" s="10" t="s">
        <v>73</v>
      </c>
      <c r="B14" s="2">
        <v>603</v>
      </c>
    </row>
    <row r="15" spans="1:2" ht="15" thickBot="1" x14ac:dyDescent="0.35">
      <c r="A15" s="11" t="s">
        <v>74</v>
      </c>
      <c r="B15" s="3">
        <v>9</v>
      </c>
    </row>
  </sheetData>
  <mergeCells count="1">
    <mergeCell ref="A1:B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781AA-35EC-4571-9577-7E03C1D4044B}">
  <dimension ref="A1:I33"/>
  <sheetViews>
    <sheetView workbookViewId="0">
      <selection sqref="A1:I33"/>
    </sheetView>
  </sheetViews>
  <sheetFormatPr defaultRowHeight="14.4" x14ac:dyDescent="0.3"/>
  <sheetData>
    <row r="1" spans="1:9" x14ac:dyDescent="0.3">
      <c r="A1" t="s">
        <v>79</v>
      </c>
    </row>
    <row r="2" spans="1:9" ht="15" thickBot="1" x14ac:dyDescent="0.35"/>
    <row r="3" spans="1:9" x14ac:dyDescent="0.3">
      <c r="A3" s="5" t="s">
        <v>80</v>
      </c>
      <c r="B3" s="5"/>
    </row>
    <row r="4" spans="1:9" x14ac:dyDescent="0.3">
      <c r="A4" s="2" t="s">
        <v>81</v>
      </c>
      <c r="B4" s="2">
        <v>0.8277920060857169</v>
      </c>
    </row>
    <row r="5" spans="1:9" x14ac:dyDescent="0.3">
      <c r="A5" s="2" t="s">
        <v>82</v>
      </c>
      <c r="B5" s="2">
        <v>0.68523960533941553</v>
      </c>
    </row>
    <row r="6" spans="1:9" x14ac:dyDescent="0.3">
      <c r="A6" s="2" t="s">
        <v>83</v>
      </c>
      <c r="B6" s="2">
        <v>0.64027383467361776</v>
      </c>
    </row>
    <row r="7" spans="1:9" x14ac:dyDescent="0.3">
      <c r="A7" s="2" t="s">
        <v>66</v>
      </c>
      <c r="B7" s="2">
        <v>14.703585459375402</v>
      </c>
    </row>
    <row r="8" spans="1:9" ht="15" thickBot="1" x14ac:dyDescent="0.35">
      <c r="A8" s="3" t="s">
        <v>84</v>
      </c>
      <c r="B8" s="3">
        <v>9</v>
      </c>
    </row>
    <row r="10" spans="1:9" ht="15" thickBot="1" x14ac:dyDescent="0.35">
      <c r="A10" t="s">
        <v>85</v>
      </c>
    </row>
    <row r="11" spans="1:9" x14ac:dyDescent="0.3">
      <c r="A11" s="4"/>
      <c r="B11" s="4" t="s">
        <v>90</v>
      </c>
      <c r="C11" s="4" t="s">
        <v>91</v>
      </c>
      <c r="D11" s="4" t="s">
        <v>92</v>
      </c>
      <c r="E11" s="4" t="s">
        <v>93</v>
      </c>
      <c r="F11" s="4" t="s">
        <v>94</v>
      </c>
    </row>
    <row r="12" spans="1:9" x14ac:dyDescent="0.3">
      <c r="A12" s="2" t="s">
        <v>86</v>
      </c>
      <c r="B12" s="2">
        <v>1</v>
      </c>
      <c r="C12" s="2">
        <v>3294.6320224719097</v>
      </c>
      <c r="D12" s="2">
        <v>3294.6320224719097</v>
      </c>
      <c r="E12" s="2">
        <v>15.239138464508244</v>
      </c>
      <c r="F12" s="2">
        <v>5.8705845856640917E-3</v>
      </c>
    </row>
    <row r="13" spans="1:9" x14ac:dyDescent="0.3">
      <c r="A13" s="2" t="s">
        <v>87</v>
      </c>
      <c r="B13" s="2">
        <v>7</v>
      </c>
      <c r="C13" s="2">
        <v>1513.3679775280903</v>
      </c>
      <c r="D13" s="2">
        <v>216.19542536115574</v>
      </c>
      <c r="E13" s="2"/>
      <c r="F13" s="2"/>
    </row>
    <row r="14" spans="1:9" ht="15" thickBot="1" x14ac:dyDescent="0.35">
      <c r="A14" s="3" t="s">
        <v>88</v>
      </c>
      <c r="B14" s="3">
        <v>8</v>
      </c>
      <c r="C14" s="3">
        <v>4808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95</v>
      </c>
      <c r="C16" s="4" t="s">
        <v>66</v>
      </c>
      <c r="D16" s="4" t="s">
        <v>96</v>
      </c>
      <c r="E16" s="4" t="s">
        <v>97</v>
      </c>
      <c r="F16" s="4" t="s">
        <v>98</v>
      </c>
      <c r="G16" s="4" t="s">
        <v>99</v>
      </c>
      <c r="H16" s="4" t="s">
        <v>100</v>
      </c>
      <c r="I16" s="4" t="s">
        <v>101</v>
      </c>
    </row>
    <row r="17" spans="1:9" x14ac:dyDescent="0.3">
      <c r="A17" s="2" t="s">
        <v>89</v>
      </c>
      <c r="B17" s="2">
        <v>14.269662921348306</v>
      </c>
      <c r="C17" s="2">
        <v>14.369369402667511</v>
      </c>
      <c r="D17" s="2">
        <v>0.99306117905906888</v>
      </c>
      <c r="E17" s="2">
        <v>0.35375937037005262</v>
      </c>
      <c r="F17" s="2">
        <v>-19.708496448294618</v>
      </c>
      <c r="G17" s="2">
        <v>48.24782229099123</v>
      </c>
      <c r="H17" s="2">
        <v>-19.708496448294618</v>
      </c>
      <c r="I17" s="2">
        <v>48.24782229099123</v>
      </c>
    </row>
    <row r="18" spans="1:9" ht="15" thickBot="1" x14ac:dyDescent="0.35">
      <c r="A18" s="3" t="s">
        <v>102</v>
      </c>
      <c r="B18" s="3">
        <v>9.1264044943820242</v>
      </c>
      <c r="C18" s="3">
        <v>2.3378654123145401</v>
      </c>
      <c r="D18" s="3">
        <v>3.9037339131283333</v>
      </c>
      <c r="E18" s="3">
        <v>5.8705845856640813E-3</v>
      </c>
      <c r="F18" s="3">
        <v>3.598231243463097</v>
      </c>
      <c r="G18" s="3">
        <v>14.654577745300951</v>
      </c>
      <c r="H18" s="3">
        <v>3.598231243463097</v>
      </c>
      <c r="I18" s="3">
        <v>14.654577745300951</v>
      </c>
    </row>
    <row r="22" spans="1:9" x14ac:dyDescent="0.3">
      <c r="A22" t="s">
        <v>103</v>
      </c>
      <c r="F22" t="s">
        <v>108</v>
      </c>
    </row>
    <row r="23" spans="1:9" ht="15" thickBot="1" x14ac:dyDescent="0.35"/>
    <row r="24" spans="1:9" x14ac:dyDescent="0.3">
      <c r="A24" s="4" t="s">
        <v>104</v>
      </c>
      <c r="B24" s="4" t="s">
        <v>105</v>
      </c>
      <c r="C24" s="4" t="s">
        <v>106</v>
      </c>
      <c r="D24" s="4" t="s">
        <v>107</v>
      </c>
      <c r="F24" s="4" t="s">
        <v>109</v>
      </c>
      <c r="G24" s="4" t="s">
        <v>110</v>
      </c>
    </row>
    <row r="25" spans="1:9" x14ac:dyDescent="0.3">
      <c r="A25" s="2">
        <v>1</v>
      </c>
      <c r="B25" s="2">
        <v>59.901685393258425</v>
      </c>
      <c r="C25" s="2">
        <v>-9.9016853932584254</v>
      </c>
      <c r="D25" s="2">
        <v>-0.71991603477666988</v>
      </c>
      <c r="F25" s="2">
        <v>5.5555555555555554</v>
      </c>
      <c r="G25" s="2">
        <v>26</v>
      </c>
    </row>
    <row r="26" spans="1:9" x14ac:dyDescent="0.3">
      <c r="A26" s="2">
        <v>2</v>
      </c>
      <c r="B26" s="2">
        <v>59.901685393258425</v>
      </c>
      <c r="C26" s="2">
        <v>-4.9016853932584254</v>
      </c>
      <c r="D26" s="2">
        <v>-0.35638396615185497</v>
      </c>
      <c r="F26" s="2">
        <v>16.666666666666664</v>
      </c>
      <c r="G26" s="2">
        <v>50</v>
      </c>
    </row>
    <row r="27" spans="1:9" x14ac:dyDescent="0.3">
      <c r="A27" s="2">
        <v>3</v>
      </c>
      <c r="B27" s="2">
        <v>69.028089887640448</v>
      </c>
      <c r="C27" s="2">
        <v>2.9719101123595522</v>
      </c>
      <c r="D27" s="2">
        <v>0.21607692618261481</v>
      </c>
      <c r="F27" s="2">
        <v>27.777777777777779</v>
      </c>
      <c r="G27" s="2">
        <v>54</v>
      </c>
    </row>
    <row r="28" spans="1:9" x14ac:dyDescent="0.3">
      <c r="A28" s="2">
        <v>4</v>
      </c>
      <c r="B28" s="2">
        <v>78.154494382022477</v>
      </c>
      <c r="C28" s="2">
        <v>19.845505617977523</v>
      </c>
      <c r="D28" s="2">
        <v>1.4428955420417509</v>
      </c>
      <c r="F28" s="2">
        <v>38.888888888888886</v>
      </c>
      <c r="G28" s="2">
        <v>55</v>
      </c>
    </row>
    <row r="29" spans="1:9" x14ac:dyDescent="0.3">
      <c r="A29" s="2">
        <v>5</v>
      </c>
      <c r="B29" s="2">
        <v>50.775280898876403</v>
      </c>
      <c r="C29" s="2">
        <v>9.2247191011235969</v>
      </c>
      <c r="D29" s="2">
        <v>0.67069624346286083</v>
      </c>
      <c r="F29" s="2">
        <v>50</v>
      </c>
      <c r="G29" s="2">
        <v>60</v>
      </c>
    </row>
    <row r="30" spans="1:9" x14ac:dyDescent="0.3">
      <c r="A30" s="2">
        <v>6</v>
      </c>
      <c r="B30" s="2">
        <v>78.154494382022477</v>
      </c>
      <c r="C30" s="2">
        <v>19.845505617977523</v>
      </c>
      <c r="D30" s="2">
        <v>1.4428955420417509</v>
      </c>
      <c r="F30" s="2">
        <v>61.111111111111114</v>
      </c>
      <c r="G30" s="2">
        <v>72</v>
      </c>
    </row>
    <row r="31" spans="1:9" x14ac:dyDescent="0.3">
      <c r="A31" s="2">
        <v>7</v>
      </c>
      <c r="B31" s="2">
        <v>69.028089887640448</v>
      </c>
      <c r="C31" s="2">
        <v>-15.028089887640448</v>
      </c>
      <c r="D31" s="2">
        <v>-1.0926385208667189</v>
      </c>
      <c r="F31" s="2">
        <v>72.222222222222214</v>
      </c>
      <c r="G31" s="2">
        <v>90</v>
      </c>
    </row>
    <row r="32" spans="1:9" x14ac:dyDescent="0.3">
      <c r="A32" s="2">
        <v>8</v>
      </c>
      <c r="B32" s="2">
        <v>32.522471910112358</v>
      </c>
      <c r="C32" s="2">
        <v>-6.5224719101123583</v>
      </c>
      <c r="D32" s="2">
        <v>-0.47422554120607868</v>
      </c>
      <c r="F32" s="2">
        <v>83.333333333333329</v>
      </c>
      <c r="G32" s="2">
        <v>98</v>
      </c>
    </row>
    <row r="33" spans="1:7" ht="15" thickBot="1" x14ac:dyDescent="0.35">
      <c r="A33" s="3">
        <v>9</v>
      </c>
      <c r="B33" s="3">
        <v>105.53370786516854</v>
      </c>
      <c r="C33" s="3">
        <v>-15.533707865168537</v>
      </c>
      <c r="D33" s="3">
        <v>-1.1294001907276552</v>
      </c>
      <c r="F33" s="3">
        <v>94.444444444444443</v>
      </c>
      <c r="G33" s="3">
        <v>98</v>
      </c>
    </row>
  </sheetData>
  <sortState xmlns:xlrd2="http://schemas.microsoft.com/office/spreadsheetml/2017/richdata2" ref="G25:G33">
    <sortCondition ref="G25"/>
  </sortState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"/>
  <sheetViews>
    <sheetView workbookViewId="0">
      <selection activeCell="C10" sqref="B2:C10"/>
    </sheetView>
  </sheetViews>
  <sheetFormatPr defaultRowHeight="14.4" x14ac:dyDescent="0.3"/>
  <cols>
    <col min="1" max="10" width="22" customWidth="1"/>
  </cols>
  <sheetData>
    <row r="1" spans="1:10" x14ac:dyDescent="0.3">
      <c r="A1" s="1" t="s">
        <v>0</v>
      </c>
      <c r="B1" s="1" t="s">
        <v>31</v>
      </c>
      <c r="C1" s="1" t="s">
        <v>32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33</v>
      </c>
      <c r="B2">
        <v>5</v>
      </c>
      <c r="C2">
        <v>50</v>
      </c>
      <c r="D2">
        <f>AVERAGE(C2:C10)</f>
        <v>67</v>
      </c>
      <c r="E2">
        <f>MEDIAN(C2:C10)</f>
        <v>60</v>
      </c>
      <c r="F2" cm="1">
        <f t="array" ref="F2">_xlfn.MODE.MULT(C2:C10)</f>
        <v>98</v>
      </c>
      <c r="G2">
        <f>MAX(C2:C10)-MIN(C2:C10)</f>
        <v>72</v>
      </c>
      <c r="H2">
        <f>_xlfn.VAR.S(C2:C10)</f>
        <v>601</v>
      </c>
      <c r="I2">
        <f>_xlfn.STDEV.S(C2:C10)</f>
        <v>24.515301344262525</v>
      </c>
      <c r="J2">
        <f>CORREL(B2:B10,C2:C10)</f>
        <v>0.82779200608571701</v>
      </c>
    </row>
    <row r="3" spans="1:10" x14ac:dyDescent="0.3">
      <c r="A3" t="s">
        <v>34</v>
      </c>
      <c r="B3">
        <v>5</v>
      </c>
      <c r="C3">
        <v>55</v>
      </c>
    </row>
    <row r="4" spans="1:10" x14ac:dyDescent="0.3">
      <c r="A4" t="s">
        <v>35</v>
      </c>
      <c r="B4">
        <v>6</v>
      </c>
      <c r="C4">
        <v>72</v>
      </c>
    </row>
    <row r="5" spans="1:10" x14ac:dyDescent="0.3">
      <c r="A5" t="s">
        <v>36</v>
      </c>
      <c r="B5">
        <v>7</v>
      </c>
      <c r="C5">
        <v>98</v>
      </c>
    </row>
    <row r="6" spans="1:10" x14ac:dyDescent="0.3">
      <c r="A6" t="s">
        <v>37</v>
      </c>
      <c r="B6">
        <v>4</v>
      </c>
      <c r="C6">
        <v>60</v>
      </c>
    </row>
    <row r="7" spans="1:10" x14ac:dyDescent="0.3">
      <c r="A7" t="s">
        <v>38</v>
      </c>
      <c r="B7">
        <v>7</v>
      </c>
      <c r="C7">
        <v>98</v>
      </c>
    </row>
    <row r="8" spans="1:10" x14ac:dyDescent="0.3">
      <c r="A8" t="s">
        <v>39</v>
      </c>
      <c r="B8">
        <v>6</v>
      </c>
      <c r="C8">
        <v>54</v>
      </c>
    </row>
    <row r="9" spans="1:10" x14ac:dyDescent="0.3">
      <c r="A9" t="s">
        <v>40</v>
      </c>
      <c r="B9">
        <v>2</v>
      </c>
      <c r="C9">
        <v>26</v>
      </c>
    </row>
    <row r="10" spans="1:10" x14ac:dyDescent="0.3">
      <c r="A10" t="s">
        <v>41</v>
      </c>
      <c r="B10">
        <v>10</v>
      </c>
      <c r="C10">
        <v>90</v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AA34E-DB11-4D87-ABB4-0732376A90D5}">
  <dimension ref="A1:B15"/>
  <sheetViews>
    <sheetView workbookViewId="0">
      <selection activeCell="G11" sqref="G11"/>
    </sheetView>
  </sheetViews>
  <sheetFormatPr defaultRowHeight="14.4" x14ac:dyDescent="0.3"/>
  <cols>
    <col min="1" max="1" width="15" customWidth="1"/>
  </cols>
  <sheetData>
    <row r="1" spans="1:2" x14ac:dyDescent="0.3">
      <c r="A1" s="14" t="s">
        <v>78</v>
      </c>
      <c r="B1" s="13"/>
    </row>
    <row r="2" spans="1:2" x14ac:dyDescent="0.3">
      <c r="A2" s="2"/>
      <c r="B2" s="2"/>
    </row>
    <row r="3" spans="1:2" x14ac:dyDescent="0.3">
      <c r="A3" s="10" t="s">
        <v>3</v>
      </c>
      <c r="B3" s="2">
        <v>2207.2222222222222</v>
      </c>
    </row>
    <row r="4" spans="1:2" x14ac:dyDescent="0.3">
      <c r="A4" s="10" t="s">
        <v>66</v>
      </c>
      <c r="B4" s="2">
        <v>344.72516338614577</v>
      </c>
    </row>
    <row r="5" spans="1:2" x14ac:dyDescent="0.3">
      <c r="A5" s="10" t="s">
        <v>4</v>
      </c>
      <c r="B5" s="2">
        <v>1812</v>
      </c>
    </row>
    <row r="6" spans="1:2" x14ac:dyDescent="0.3">
      <c r="A6" s="10" t="s">
        <v>5</v>
      </c>
      <c r="B6" s="2">
        <v>1400</v>
      </c>
    </row>
    <row r="7" spans="1:2" x14ac:dyDescent="0.3">
      <c r="A7" s="10" t="s">
        <v>67</v>
      </c>
      <c r="B7" s="2">
        <v>1034.1754901584372</v>
      </c>
    </row>
    <row r="8" spans="1:2" x14ac:dyDescent="0.3">
      <c r="A8" s="10" t="s">
        <v>68</v>
      </c>
      <c r="B8" s="2">
        <v>1069518.944444444</v>
      </c>
    </row>
    <row r="9" spans="1:2" x14ac:dyDescent="0.3">
      <c r="A9" s="10" t="s">
        <v>69</v>
      </c>
      <c r="B9" s="2">
        <v>-1.4364570749910288</v>
      </c>
    </row>
    <row r="10" spans="1:2" x14ac:dyDescent="0.3">
      <c r="A10" s="10" t="s">
        <v>70</v>
      </c>
      <c r="B10" s="2">
        <v>0.38810194202167592</v>
      </c>
    </row>
    <row r="11" spans="1:2" x14ac:dyDescent="0.3">
      <c r="A11" s="10" t="s">
        <v>6</v>
      </c>
      <c r="B11" s="2">
        <v>2926</v>
      </c>
    </row>
    <row r="12" spans="1:2" x14ac:dyDescent="0.3">
      <c r="A12" s="10" t="s">
        <v>71</v>
      </c>
      <c r="B12" s="2">
        <v>884</v>
      </c>
    </row>
    <row r="13" spans="1:2" x14ac:dyDescent="0.3">
      <c r="A13" s="10" t="s">
        <v>72</v>
      </c>
      <c r="B13" s="2">
        <v>3810</v>
      </c>
    </row>
    <row r="14" spans="1:2" x14ac:dyDescent="0.3">
      <c r="A14" s="10" t="s">
        <v>73</v>
      </c>
      <c r="B14" s="2">
        <v>19865</v>
      </c>
    </row>
    <row r="15" spans="1:2" ht="15" thickBot="1" x14ac:dyDescent="0.35">
      <c r="A15" s="11" t="s">
        <v>74</v>
      </c>
      <c r="B15" s="3">
        <v>9</v>
      </c>
    </row>
  </sheetData>
  <mergeCells count="1">
    <mergeCell ref="A1:B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DCF3D-5B14-4DB9-9211-3A1F03B57835}">
  <dimension ref="A1:I33"/>
  <sheetViews>
    <sheetView workbookViewId="0">
      <selection sqref="A1:I33"/>
    </sheetView>
  </sheetViews>
  <sheetFormatPr defaultRowHeight="14.4" x14ac:dyDescent="0.3"/>
  <sheetData>
    <row r="1" spans="1:9" x14ac:dyDescent="0.3">
      <c r="A1" t="s">
        <v>79</v>
      </c>
    </row>
    <row r="2" spans="1:9" ht="15" thickBot="1" x14ac:dyDescent="0.35"/>
    <row r="3" spans="1:9" x14ac:dyDescent="0.3">
      <c r="A3" s="5" t="s">
        <v>80</v>
      </c>
      <c r="B3" s="5"/>
    </row>
    <row r="4" spans="1:9" x14ac:dyDescent="0.3">
      <c r="A4" s="2" t="s">
        <v>81</v>
      </c>
      <c r="B4" s="2">
        <v>0.8367744476843294</v>
      </c>
    </row>
    <row r="5" spans="1:9" x14ac:dyDescent="0.3">
      <c r="A5" s="2" t="s">
        <v>82</v>
      </c>
      <c r="B5" s="2">
        <v>0.70019147629741452</v>
      </c>
    </row>
    <row r="6" spans="1:9" x14ac:dyDescent="0.3">
      <c r="A6" s="2" t="s">
        <v>83</v>
      </c>
      <c r="B6" s="2">
        <v>0.65736168719704513</v>
      </c>
    </row>
    <row r="7" spans="1:9" x14ac:dyDescent="0.3">
      <c r="A7" s="2" t="s">
        <v>66</v>
      </c>
      <c r="B7" s="2">
        <v>605.35788310324472</v>
      </c>
    </row>
    <row r="8" spans="1:9" ht="15" thickBot="1" x14ac:dyDescent="0.35">
      <c r="A8" s="3" t="s">
        <v>84</v>
      </c>
      <c r="B8" s="3">
        <v>9</v>
      </c>
    </row>
    <row r="10" spans="1:9" ht="15" thickBot="1" x14ac:dyDescent="0.35">
      <c r="A10" t="s">
        <v>85</v>
      </c>
    </row>
    <row r="11" spans="1:9" x14ac:dyDescent="0.3">
      <c r="A11" s="4"/>
      <c r="B11" s="4" t="s">
        <v>90</v>
      </c>
      <c r="C11" s="4" t="s">
        <v>91</v>
      </c>
      <c r="D11" s="4" t="s">
        <v>92</v>
      </c>
      <c r="E11" s="4" t="s">
        <v>93</v>
      </c>
      <c r="F11" s="4" t="s">
        <v>94</v>
      </c>
    </row>
    <row r="12" spans="1:9" x14ac:dyDescent="0.3">
      <c r="A12" s="2" t="s">
        <v>86</v>
      </c>
      <c r="B12" s="2">
        <v>1</v>
      </c>
      <c r="C12" s="2">
        <v>5990944.3891088646</v>
      </c>
      <c r="D12" s="2">
        <v>5990944.3891088646</v>
      </c>
      <c r="E12" s="2">
        <v>16.34823544558094</v>
      </c>
      <c r="F12" s="2">
        <v>4.9123228999943805E-3</v>
      </c>
    </row>
    <row r="13" spans="1:9" x14ac:dyDescent="0.3">
      <c r="A13" s="2" t="s">
        <v>87</v>
      </c>
      <c r="B13" s="2">
        <v>7</v>
      </c>
      <c r="C13" s="2">
        <v>2565207.1664466914</v>
      </c>
      <c r="D13" s="2">
        <v>366458.16663524165</v>
      </c>
      <c r="E13" s="2"/>
      <c r="F13" s="2"/>
    </row>
    <row r="14" spans="1:9" ht="15" thickBot="1" x14ac:dyDescent="0.35">
      <c r="A14" s="3" t="s">
        <v>88</v>
      </c>
      <c r="B14" s="3">
        <v>8</v>
      </c>
      <c r="C14" s="3">
        <v>8556151.555555556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95</v>
      </c>
      <c r="C16" s="4" t="s">
        <v>66</v>
      </c>
      <c r="D16" s="4" t="s">
        <v>96</v>
      </c>
      <c r="E16" s="4" t="s">
        <v>97</v>
      </c>
      <c r="F16" s="4" t="s">
        <v>98</v>
      </c>
      <c r="G16" s="4" t="s">
        <v>99</v>
      </c>
      <c r="H16" s="4" t="s">
        <v>100</v>
      </c>
      <c r="I16" s="4" t="s">
        <v>101</v>
      </c>
    </row>
    <row r="17" spans="1:9" x14ac:dyDescent="0.3">
      <c r="A17" s="2" t="s">
        <v>89</v>
      </c>
      <c r="B17" s="2">
        <v>-64.053657941884012</v>
      </c>
      <c r="C17" s="2">
        <v>596.88197297211207</v>
      </c>
      <c r="D17" s="2">
        <v>-0.10731377532300974</v>
      </c>
      <c r="E17" s="2">
        <v>0.91755103589403064</v>
      </c>
      <c r="F17" s="2">
        <v>-1475.4552465702893</v>
      </c>
      <c r="G17" s="2">
        <v>1347.3479306865213</v>
      </c>
      <c r="H17" s="2">
        <v>-1475.4552465702893</v>
      </c>
      <c r="I17" s="2">
        <v>1347.3479306865213</v>
      </c>
    </row>
    <row r="18" spans="1:9" ht="15" thickBot="1" x14ac:dyDescent="0.35">
      <c r="A18" s="3" t="s">
        <v>102</v>
      </c>
      <c r="B18" s="3">
        <v>11.954083579811085</v>
      </c>
      <c r="C18" s="3">
        <v>2.9565201694131531</v>
      </c>
      <c r="D18" s="3">
        <v>4.0432951222463265</v>
      </c>
      <c r="E18" s="3">
        <v>4.9123228999943848E-3</v>
      </c>
      <c r="F18" s="3">
        <v>4.9630242868935346</v>
      </c>
      <c r="G18" s="3">
        <v>18.945142872728635</v>
      </c>
      <c r="H18" s="3">
        <v>4.9630242868935346</v>
      </c>
      <c r="I18" s="3">
        <v>18.945142872728635</v>
      </c>
    </row>
    <row r="22" spans="1:9" x14ac:dyDescent="0.3">
      <c r="A22" t="s">
        <v>103</v>
      </c>
      <c r="F22" t="s">
        <v>108</v>
      </c>
    </row>
    <row r="23" spans="1:9" ht="15" thickBot="1" x14ac:dyDescent="0.35"/>
    <row r="24" spans="1:9" x14ac:dyDescent="0.3">
      <c r="A24" s="4" t="s">
        <v>104</v>
      </c>
      <c r="B24" s="4" t="s">
        <v>105</v>
      </c>
      <c r="C24" s="4" t="s">
        <v>106</v>
      </c>
      <c r="D24" s="4" t="s">
        <v>107</v>
      </c>
      <c r="F24" s="4" t="s">
        <v>109</v>
      </c>
      <c r="G24" s="4" t="s">
        <v>110</v>
      </c>
    </row>
    <row r="25" spans="1:9" x14ac:dyDescent="0.3">
      <c r="A25" s="2">
        <v>1</v>
      </c>
      <c r="B25" s="2">
        <v>748.82402548526977</v>
      </c>
      <c r="C25" s="2">
        <v>135.17597451473023</v>
      </c>
      <c r="D25" s="2">
        <v>0.23871696286718683</v>
      </c>
      <c r="F25" s="2">
        <v>5.5555555555555554</v>
      </c>
      <c r="G25" s="2">
        <v>884</v>
      </c>
    </row>
    <row r="26" spans="1:9" x14ac:dyDescent="0.3">
      <c r="A26" s="2">
        <v>2</v>
      </c>
      <c r="B26" s="2">
        <v>1609.5180432316679</v>
      </c>
      <c r="C26" s="2">
        <v>-209.51804323166789</v>
      </c>
      <c r="D26" s="2">
        <v>-0.37000296188498705</v>
      </c>
      <c r="F26" s="2">
        <v>16.666666666666664</v>
      </c>
      <c r="G26" s="2">
        <v>1400</v>
      </c>
    </row>
    <row r="27" spans="1:9" x14ac:dyDescent="0.3">
      <c r="A27" s="2">
        <v>3</v>
      </c>
      <c r="B27" s="2">
        <v>3091.8244071282425</v>
      </c>
      <c r="C27" s="2">
        <v>340.17559287175754</v>
      </c>
      <c r="D27" s="2">
        <v>0.60074051371489512</v>
      </c>
      <c r="F27" s="2">
        <v>27.777777777777779</v>
      </c>
      <c r="G27" s="2">
        <v>1400</v>
      </c>
    </row>
    <row r="28" spans="1:9" x14ac:dyDescent="0.3">
      <c r="A28" s="2">
        <v>4</v>
      </c>
      <c r="B28" s="2">
        <v>2972.2835713301315</v>
      </c>
      <c r="C28" s="2">
        <v>837.71642866986849</v>
      </c>
      <c r="D28" s="2">
        <v>1.479383613204325</v>
      </c>
      <c r="F28" s="2">
        <v>38.888888888888886</v>
      </c>
      <c r="G28" s="2">
        <v>1496</v>
      </c>
    </row>
    <row r="29" spans="1:9" x14ac:dyDescent="0.3">
      <c r="A29" s="2">
        <v>5</v>
      </c>
      <c r="B29" s="2">
        <v>1741.0129626095897</v>
      </c>
      <c r="C29" s="2">
        <v>-341.01296260958975</v>
      </c>
      <c r="D29" s="2">
        <v>-0.60221928508184697</v>
      </c>
      <c r="F29" s="2">
        <v>50</v>
      </c>
      <c r="G29" s="2">
        <v>1812</v>
      </c>
    </row>
    <row r="30" spans="1:9" x14ac:dyDescent="0.3">
      <c r="A30" s="2">
        <v>6</v>
      </c>
      <c r="B30" s="2">
        <v>3510.2173324216305</v>
      </c>
      <c r="C30" s="2">
        <v>-819.21733242163054</v>
      </c>
      <c r="D30" s="2">
        <v>-1.4467147303793975</v>
      </c>
      <c r="F30" s="2">
        <v>61.111111111111114</v>
      </c>
      <c r="G30" s="2">
        <v>2691</v>
      </c>
    </row>
    <row r="31" spans="1:9" x14ac:dyDescent="0.3">
      <c r="A31" s="2">
        <v>7</v>
      </c>
      <c r="B31" s="2">
        <v>2171.3599714827888</v>
      </c>
      <c r="C31" s="2">
        <v>-675.35997148278875</v>
      </c>
      <c r="D31" s="2">
        <v>-1.1926666836559259</v>
      </c>
      <c r="F31" s="2">
        <v>72.222222222222214</v>
      </c>
      <c r="G31" s="2">
        <v>2940</v>
      </c>
    </row>
    <row r="32" spans="1:9" x14ac:dyDescent="0.3">
      <c r="A32" s="2">
        <v>8</v>
      </c>
      <c r="B32" s="2">
        <v>2278.9467237010886</v>
      </c>
      <c r="C32" s="2">
        <v>661.05327629891144</v>
      </c>
      <c r="D32" s="2">
        <v>1.1674014630039404</v>
      </c>
      <c r="F32" s="2">
        <v>83.333333333333329</v>
      </c>
      <c r="G32" s="2">
        <v>3432</v>
      </c>
    </row>
    <row r="33" spans="1:7" ht="15" thickBot="1" x14ac:dyDescent="0.35">
      <c r="A33" s="3">
        <v>9</v>
      </c>
      <c r="B33" s="3">
        <v>1741.0129626095897</v>
      </c>
      <c r="C33" s="3">
        <v>70.987037390410251</v>
      </c>
      <c r="D33" s="3">
        <v>0.12536110821181148</v>
      </c>
      <c r="F33" s="3">
        <v>94.444444444444443</v>
      </c>
      <c r="G33" s="3">
        <v>3810</v>
      </c>
    </row>
  </sheetData>
  <sortState xmlns:xlrd2="http://schemas.microsoft.com/office/spreadsheetml/2017/richdata2" ref="G25:G33">
    <sortCondition ref="G25"/>
  </sortState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"/>
  <sheetViews>
    <sheetView workbookViewId="0">
      <selection activeCell="C10" sqref="B2:C10"/>
    </sheetView>
  </sheetViews>
  <sheetFormatPr defaultRowHeight="14.4" x14ac:dyDescent="0.3"/>
  <cols>
    <col min="1" max="10" width="22" customWidth="1"/>
  </cols>
  <sheetData>
    <row r="1" spans="1:10" x14ac:dyDescent="0.3">
      <c r="A1" s="1" t="s">
        <v>42</v>
      </c>
      <c r="B1" s="1" t="s">
        <v>43</v>
      </c>
      <c r="C1" s="1" t="s">
        <v>44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45</v>
      </c>
      <c r="B2">
        <v>68</v>
      </c>
      <c r="C2">
        <v>884</v>
      </c>
      <c r="D2">
        <f>AVERAGE(C2:C10)</f>
        <v>2207.2222222222222</v>
      </c>
      <c r="E2">
        <f>MEDIAN(C2:C10)</f>
        <v>1812</v>
      </c>
      <c r="F2">
        <f>_xlfn.MODE.SNGL(C2:C10)</f>
        <v>1400</v>
      </c>
      <c r="G2">
        <f>MAX(C2:C10)-MIN(C2:C10)</f>
        <v>2926</v>
      </c>
      <c r="H2">
        <f>_xlfn.VAR.S(C2:C10)</f>
        <v>1069518.944444444</v>
      </c>
      <c r="I2">
        <f>_xlfn.STDEV.S(C2:C10)</f>
        <v>1034.1754901584372</v>
      </c>
      <c r="J2">
        <f>CORREL(B2:B10,C2:C10)</f>
        <v>0.83677444768432951</v>
      </c>
    </row>
    <row r="3" spans="1:10" x14ac:dyDescent="0.3">
      <c r="A3" t="s">
        <v>46</v>
      </c>
      <c r="B3">
        <v>140</v>
      </c>
      <c r="C3">
        <v>1400</v>
      </c>
    </row>
    <row r="4" spans="1:10" x14ac:dyDescent="0.3">
      <c r="A4" t="s">
        <v>47</v>
      </c>
      <c r="B4">
        <v>264</v>
      </c>
      <c r="C4">
        <v>3432</v>
      </c>
    </row>
    <row r="5" spans="1:10" x14ac:dyDescent="0.3">
      <c r="A5" t="s">
        <v>48</v>
      </c>
      <c r="B5">
        <v>254</v>
      </c>
      <c r="C5">
        <v>3810</v>
      </c>
    </row>
    <row r="6" spans="1:10" x14ac:dyDescent="0.3">
      <c r="A6" t="s">
        <v>49</v>
      </c>
      <c r="B6">
        <v>151</v>
      </c>
      <c r="C6">
        <v>1400</v>
      </c>
    </row>
    <row r="7" spans="1:10" x14ac:dyDescent="0.3">
      <c r="A7" t="s">
        <v>50</v>
      </c>
      <c r="B7">
        <v>299</v>
      </c>
      <c r="C7">
        <v>2691</v>
      </c>
    </row>
    <row r="8" spans="1:10" x14ac:dyDescent="0.3">
      <c r="A8" t="s">
        <v>51</v>
      </c>
      <c r="B8">
        <v>187</v>
      </c>
      <c r="C8">
        <v>1496</v>
      </c>
    </row>
    <row r="9" spans="1:10" x14ac:dyDescent="0.3">
      <c r="A9" t="s">
        <v>52</v>
      </c>
      <c r="B9">
        <v>196</v>
      </c>
      <c r="C9">
        <v>2940</v>
      </c>
    </row>
    <row r="10" spans="1:10" x14ac:dyDescent="0.3">
      <c r="A10" t="s">
        <v>53</v>
      </c>
      <c r="B10">
        <v>151</v>
      </c>
      <c r="C10">
        <v>1812</v>
      </c>
    </row>
  </sheetData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5CF8E-3C35-4C1E-A0CA-BBFDAFEB84A8}">
  <dimension ref="A1:B15"/>
  <sheetViews>
    <sheetView workbookViewId="0">
      <selection activeCell="F22" sqref="F22"/>
    </sheetView>
  </sheetViews>
  <sheetFormatPr defaultRowHeight="14.4" x14ac:dyDescent="0.3"/>
  <cols>
    <col min="1" max="1" width="20.21875" customWidth="1"/>
  </cols>
  <sheetData>
    <row r="1" spans="1:2" x14ac:dyDescent="0.3">
      <c r="A1" s="12" t="s">
        <v>56</v>
      </c>
      <c r="B1" s="9"/>
    </row>
    <row r="2" spans="1:2" x14ac:dyDescent="0.3">
      <c r="A2" s="2"/>
      <c r="B2" s="2"/>
    </row>
    <row r="3" spans="1:2" x14ac:dyDescent="0.3">
      <c r="A3" s="10" t="s">
        <v>3</v>
      </c>
      <c r="B3" s="2">
        <v>80.333333333333329</v>
      </c>
    </row>
    <row r="4" spans="1:2" x14ac:dyDescent="0.3">
      <c r="A4" s="10" t="s">
        <v>66</v>
      </c>
      <c r="B4" s="2">
        <v>12.472191289246473</v>
      </c>
    </row>
    <row r="5" spans="1:2" x14ac:dyDescent="0.3">
      <c r="A5" s="10" t="s">
        <v>4</v>
      </c>
      <c r="B5" s="2">
        <v>91</v>
      </c>
    </row>
    <row r="6" spans="1:2" x14ac:dyDescent="0.3">
      <c r="A6" s="10" t="s">
        <v>5</v>
      </c>
      <c r="B6" s="2">
        <v>36</v>
      </c>
    </row>
    <row r="7" spans="1:2" x14ac:dyDescent="0.3">
      <c r="A7" s="10" t="s">
        <v>67</v>
      </c>
      <c r="B7" s="2">
        <v>37.416573867739416</v>
      </c>
    </row>
    <row r="8" spans="1:2" x14ac:dyDescent="0.3">
      <c r="A8" s="10" t="s">
        <v>68</v>
      </c>
      <c r="B8" s="2">
        <v>1400</v>
      </c>
    </row>
    <row r="9" spans="1:2" x14ac:dyDescent="0.3">
      <c r="A9" s="10" t="s">
        <v>69</v>
      </c>
      <c r="B9" s="2">
        <v>-1.9738582361516039</v>
      </c>
    </row>
    <row r="10" spans="1:2" x14ac:dyDescent="0.3">
      <c r="A10" s="10" t="s">
        <v>70</v>
      </c>
      <c r="B10" s="2">
        <v>-0.13964945321030081</v>
      </c>
    </row>
    <row r="11" spans="1:2" x14ac:dyDescent="0.3">
      <c r="A11" s="10" t="s">
        <v>6</v>
      </c>
      <c r="B11" s="2">
        <v>94</v>
      </c>
    </row>
    <row r="12" spans="1:2" x14ac:dyDescent="0.3">
      <c r="A12" s="10" t="s">
        <v>71</v>
      </c>
      <c r="B12" s="2">
        <v>36</v>
      </c>
    </row>
    <row r="13" spans="1:2" x14ac:dyDescent="0.3">
      <c r="A13" s="10" t="s">
        <v>72</v>
      </c>
      <c r="B13" s="2">
        <v>130</v>
      </c>
    </row>
    <row r="14" spans="1:2" x14ac:dyDescent="0.3">
      <c r="A14" s="10" t="s">
        <v>73</v>
      </c>
      <c r="B14" s="2">
        <v>723</v>
      </c>
    </row>
    <row r="15" spans="1:2" ht="15" thickBot="1" x14ac:dyDescent="0.35">
      <c r="A15" s="11" t="s">
        <v>74</v>
      </c>
      <c r="B15" s="3">
        <v>9</v>
      </c>
    </row>
  </sheetData>
  <mergeCells count="1">
    <mergeCell ref="A1:B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34BAE-AD3D-46DE-A24B-8A638C27DF6D}">
  <dimension ref="A1:I33"/>
  <sheetViews>
    <sheetView workbookViewId="0">
      <selection activeCell="R21" sqref="R21"/>
    </sheetView>
  </sheetViews>
  <sheetFormatPr defaultRowHeight="14.4" x14ac:dyDescent="0.3"/>
  <sheetData>
    <row r="1" spans="1:9" x14ac:dyDescent="0.3">
      <c r="A1" t="s">
        <v>79</v>
      </c>
    </row>
    <row r="2" spans="1:9" ht="15" thickBot="1" x14ac:dyDescent="0.35"/>
    <row r="3" spans="1:9" x14ac:dyDescent="0.3">
      <c r="A3" s="5" t="s">
        <v>80</v>
      </c>
      <c r="B3" s="5"/>
    </row>
    <row r="4" spans="1:9" x14ac:dyDescent="0.3">
      <c r="A4" s="2" t="s">
        <v>81</v>
      </c>
      <c r="B4" s="2">
        <v>0.96371259583715374</v>
      </c>
    </row>
    <row r="5" spans="1:9" x14ac:dyDescent="0.3">
      <c r="A5" s="2" t="s">
        <v>82</v>
      </c>
      <c r="B5" s="2">
        <v>0.92874196737518522</v>
      </c>
    </row>
    <row r="6" spans="1:9" x14ac:dyDescent="0.3">
      <c r="A6" s="2" t="s">
        <v>83</v>
      </c>
      <c r="B6" s="2">
        <v>0.91856224842878309</v>
      </c>
    </row>
    <row r="7" spans="1:9" x14ac:dyDescent="0.3">
      <c r="A7" s="2" t="s">
        <v>66</v>
      </c>
      <c r="B7" s="2">
        <v>10.677680094463566</v>
      </c>
    </row>
    <row r="8" spans="1:9" ht="15" thickBot="1" x14ac:dyDescent="0.35">
      <c r="A8" s="3" t="s">
        <v>84</v>
      </c>
      <c r="B8" s="3">
        <v>9</v>
      </c>
    </row>
    <row r="10" spans="1:9" ht="15" thickBot="1" x14ac:dyDescent="0.35">
      <c r="A10" t="s">
        <v>85</v>
      </c>
    </row>
    <row r="11" spans="1:9" x14ac:dyDescent="0.3">
      <c r="A11" s="4"/>
      <c r="B11" s="4" t="s">
        <v>90</v>
      </c>
      <c r="C11" s="4" t="s">
        <v>91</v>
      </c>
      <c r="D11" s="4" t="s">
        <v>92</v>
      </c>
      <c r="E11" s="4" t="s">
        <v>93</v>
      </c>
      <c r="F11" s="4" t="s">
        <v>94</v>
      </c>
    </row>
    <row r="12" spans="1:9" x14ac:dyDescent="0.3">
      <c r="A12" s="2" t="s">
        <v>86</v>
      </c>
      <c r="B12" s="2">
        <v>1</v>
      </c>
      <c r="C12" s="2">
        <v>10401.910034602075</v>
      </c>
      <c r="D12" s="2">
        <v>10401.910034602075</v>
      </c>
      <c r="E12" s="2">
        <v>91.234539211265599</v>
      </c>
      <c r="F12" s="2">
        <v>2.8924148350668006E-5</v>
      </c>
    </row>
    <row r="13" spans="1:9" x14ac:dyDescent="0.3">
      <c r="A13" s="2" t="s">
        <v>87</v>
      </c>
      <c r="B13" s="2">
        <v>7</v>
      </c>
      <c r="C13" s="2">
        <v>798.08996539792417</v>
      </c>
      <c r="D13" s="2">
        <v>114.01285219970346</v>
      </c>
      <c r="E13" s="2"/>
      <c r="F13" s="2"/>
    </row>
    <row r="14" spans="1:9" ht="15" thickBot="1" x14ac:dyDescent="0.35">
      <c r="A14" s="3" t="s">
        <v>88</v>
      </c>
      <c r="B14" s="3">
        <v>8</v>
      </c>
      <c r="C14" s="3">
        <v>11200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95</v>
      </c>
      <c r="C16" s="4" t="s">
        <v>66</v>
      </c>
      <c r="D16" s="4" t="s">
        <v>96</v>
      </c>
      <c r="E16" s="4" t="s">
        <v>97</v>
      </c>
      <c r="F16" s="4" t="s">
        <v>98</v>
      </c>
      <c r="G16" s="4" t="s">
        <v>99</v>
      </c>
      <c r="H16" s="4" t="s">
        <v>100</v>
      </c>
      <c r="I16" s="4" t="s">
        <v>101</v>
      </c>
    </row>
    <row r="17" spans="1:9" x14ac:dyDescent="0.3">
      <c r="A17" s="2" t="s">
        <v>89</v>
      </c>
      <c r="B17" s="2">
        <v>-3.0968858131487735</v>
      </c>
      <c r="C17" s="2">
        <v>9.431944940832544</v>
      </c>
      <c r="D17" s="2">
        <v>-0.32834010721816365</v>
      </c>
      <c r="E17" s="2">
        <v>0.75225789276574473</v>
      </c>
      <c r="F17" s="2">
        <v>-25.39989155992928</v>
      </c>
      <c r="G17" s="2">
        <v>19.206119933631733</v>
      </c>
      <c r="H17" s="2">
        <v>-25.39989155992928</v>
      </c>
      <c r="I17" s="2">
        <v>19.206119933631733</v>
      </c>
    </row>
    <row r="18" spans="1:9" ht="15" thickBot="1" x14ac:dyDescent="0.35">
      <c r="A18" s="3" t="s">
        <v>102</v>
      </c>
      <c r="B18" s="3">
        <v>12.726643598615915</v>
      </c>
      <c r="C18" s="3">
        <v>1.332398823906318</v>
      </c>
      <c r="D18" s="3">
        <v>9.5516772983212537</v>
      </c>
      <c r="E18" s="3">
        <v>2.8924148350668006E-5</v>
      </c>
      <c r="F18" s="3">
        <v>9.576021026813331</v>
      </c>
      <c r="G18" s="3">
        <v>15.877266170418499</v>
      </c>
      <c r="H18" s="3">
        <v>9.576021026813331</v>
      </c>
      <c r="I18" s="3">
        <v>15.877266170418499</v>
      </c>
    </row>
    <row r="22" spans="1:9" x14ac:dyDescent="0.3">
      <c r="A22" t="s">
        <v>103</v>
      </c>
      <c r="F22" t="s">
        <v>108</v>
      </c>
    </row>
    <row r="23" spans="1:9" ht="15" thickBot="1" x14ac:dyDescent="0.35"/>
    <row r="24" spans="1:9" x14ac:dyDescent="0.3">
      <c r="A24" s="4" t="s">
        <v>104</v>
      </c>
      <c r="B24" s="4" t="s">
        <v>105</v>
      </c>
      <c r="C24" s="4" t="s">
        <v>106</v>
      </c>
      <c r="D24" s="4" t="s">
        <v>107</v>
      </c>
      <c r="F24" s="4" t="s">
        <v>109</v>
      </c>
      <c r="G24" s="4" t="s">
        <v>110</v>
      </c>
    </row>
    <row r="25" spans="1:9" x14ac:dyDescent="0.3">
      <c r="A25" s="2">
        <v>1</v>
      </c>
      <c r="B25" s="2">
        <v>35.083044982698972</v>
      </c>
      <c r="C25" s="2">
        <v>0.91695501730102791</v>
      </c>
      <c r="D25" s="2">
        <v>9.1805161620741815E-2</v>
      </c>
      <c r="F25" s="2">
        <v>5.5555555555555554</v>
      </c>
      <c r="G25" s="2">
        <v>36</v>
      </c>
    </row>
    <row r="26" spans="1:9" x14ac:dyDescent="0.3">
      <c r="A26" s="2">
        <v>2</v>
      </c>
      <c r="B26" s="2">
        <v>47.809688581314887</v>
      </c>
      <c r="C26" s="2">
        <v>12.190311418685113</v>
      </c>
      <c r="D26" s="2">
        <v>1.2204889976976483</v>
      </c>
      <c r="F26" s="2">
        <v>16.666666666666664</v>
      </c>
      <c r="G26" s="2">
        <v>36</v>
      </c>
    </row>
    <row r="27" spans="1:9" x14ac:dyDescent="0.3">
      <c r="A27" s="2">
        <v>3</v>
      </c>
      <c r="B27" s="2">
        <v>98.716262975778548</v>
      </c>
      <c r="C27" s="2">
        <v>13.283737024221452</v>
      </c>
      <c r="D27" s="2">
        <v>1.3299623224982329</v>
      </c>
      <c r="F27" s="2">
        <v>27.777777777777779</v>
      </c>
      <c r="G27" s="2">
        <v>40</v>
      </c>
    </row>
    <row r="28" spans="1:9" x14ac:dyDescent="0.3">
      <c r="A28" s="2">
        <v>4</v>
      </c>
      <c r="B28" s="2">
        <v>85.98961937716264</v>
      </c>
      <c r="C28" s="2">
        <v>5.01038062283736</v>
      </c>
      <c r="D28" s="2">
        <v>0.501637260478624</v>
      </c>
      <c r="F28" s="2">
        <v>38.888888888888886</v>
      </c>
      <c r="G28" s="2">
        <v>60</v>
      </c>
    </row>
    <row r="29" spans="1:9" x14ac:dyDescent="0.3">
      <c r="A29" s="2">
        <v>5</v>
      </c>
      <c r="B29" s="2">
        <v>124.16955017301038</v>
      </c>
      <c r="C29" s="2">
        <v>-14.169550173010379</v>
      </c>
      <c r="D29" s="2">
        <v>-1.4186495729695918</v>
      </c>
      <c r="F29" s="2">
        <v>50</v>
      </c>
      <c r="G29" s="2">
        <v>91</v>
      </c>
    </row>
    <row r="30" spans="1:9" x14ac:dyDescent="0.3">
      <c r="A30" s="2">
        <v>6</v>
      </c>
      <c r="B30" s="2">
        <v>111.44290657439446</v>
      </c>
      <c r="C30" s="2">
        <v>-3.4429065743944562</v>
      </c>
      <c r="D30" s="2">
        <v>-0.34470239929297708</v>
      </c>
      <c r="F30" s="2">
        <v>61.111111111111114</v>
      </c>
      <c r="G30" s="2">
        <v>108</v>
      </c>
    </row>
    <row r="31" spans="1:9" x14ac:dyDescent="0.3">
      <c r="A31" s="2">
        <v>7</v>
      </c>
      <c r="B31" s="2">
        <v>47.809688581314887</v>
      </c>
      <c r="C31" s="2">
        <v>-11.809688581314887</v>
      </c>
      <c r="D31" s="2">
        <v>-1.1823811947607379</v>
      </c>
      <c r="F31" s="2">
        <v>72.222222222222214</v>
      </c>
      <c r="G31" s="2">
        <v>110</v>
      </c>
    </row>
    <row r="32" spans="1:9" x14ac:dyDescent="0.3">
      <c r="A32" s="2">
        <v>8</v>
      </c>
      <c r="B32" s="2">
        <v>47.809688581314887</v>
      </c>
      <c r="C32" s="2">
        <v>-7.8096885813148873</v>
      </c>
      <c r="D32" s="2">
        <v>-0.78190282935100675</v>
      </c>
      <c r="F32" s="2">
        <v>83.333333333333329</v>
      </c>
      <c r="G32" s="2">
        <v>112</v>
      </c>
    </row>
    <row r="33" spans="1:7" ht="15" thickBot="1" x14ac:dyDescent="0.35">
      <c r="A33" s="3">
        <v>9</v>
      </c>
      <c r="B33" s="3">
        <v>124.16955017301038</v>
      </c>
      <c r="C33" s="3">
        <v>5.8304498269896214</v>
      </c>
      <c r="D33" s="3">
        <v>0.58374225407906311</v>
      </c>
      <c r="F33" s="3">
        <v>94.444444444444443</v>
      </c>
      <c r="G33" s="3">
        <v>130</v>
      </c>
    </row>
  </sheetData>
  <sortState xmlns:xlrd2="http://schemas.microsoft.com/office/spreadsheetml/2017/richdata2" ref="G25:G33">
    <sortCondition ref="G25"/>
  </sortState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"/>
  <sheetViews>
    <sheetView tabSelected="1" workbookViewId="0">
      <selection activeCell="D45" sqref="D45"/>
    </sheetView>
  </sheetViews>
  <sheetFormatPr defaultRowHeight="14.4" x14ac:dyDescent="0.3"/>
  <cols>
    <col min="1" max="10" width="22" customWidth="1"/>
  </cols>
  <sheetData>
    <row r="1" spans="1:10" x14ac:dyDescent="0.3">
      <c r="A1" s="1" t="s">
        <v>54</v>
      </c>
      <c r="B1" s="1" t="s">
        <v>55</v>
      </c>
      <c r="C1" s="1" t="s">
        <v>56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57</v>
      </c>
      <c r="B2">
        <v>3</v>
      </c>
      <c r="C2">
        <v>36</v>
      </c>
      <c r="D2">
        <f>AVERAGE(C2:C10)</f>
        <v>80.333333333333329</v>
      </c>
      <c r="E2">
        <f>MEDIAN(C2:C10)</f>
        <v>91</v>
      </c>
      <c r="F2">
        <f>_xlfn.MODE.SNGL(C2:C10)</f>
        <v>36</v>
      </c>
      <c r="G2">
        <f>MAX(C2:C10)-MIN(C2:C10)</f>
        <v>94</v>
      </c>
      <c r="H2">
        <f>_xlfn.VAR.S(C2:C10)</f>
        <v>1400</v>
      </c>
      <c r="I2">
        <f>_xlfn.STDEV.S(C2:C10)</f>
        <v>37.416573867739416</v>
      </c>
      <c r="J2">
        <f>CORREL(B2:B10,C2:C10)</f>
        <v>0.96371259583715407</v>
      </c>
    </row>
    <row r="3" spans="1:10" x14ac:dyDescent="0.3">
      <c r="A3" t="s">
        <v>58</v>
      </c>
      <c r="B3">
        <v>4</v>
      </c>
      <c r="C3">
        <v>60</v>
      </c>
    </row>
    <row r="4" spans="1:10" x14ac:dyDescent="0.3">
      <c r="A4" t="s">
        <v>59</v>
      </c>
      <c r="B4">
        <v>8</v>
      </c>
      <c r="C4">
        <v>112</v>
      </c>
    </row>
    <row r="5" spans="1:10" x14ac:dyDescent="0.3">
      <c r="A5" t="s">
        <v>60</v>
      </c>
      <c r="B5">
        <v>7</v>
      </c>
      <c r="C5">
        <v>91</v>
      </c>
    </row>
    <row r="6" spans="1:10" x14ac:dyDescent="0.3">
      <c r="A6" t="s">
        <v>61</v>
      </c>
      <c r="B6">
        <v>10</v>
      </c>
      <c r="C6">
        <v>110</v>
      </c>
    </row>
    <row r="7" spans="1:10" x14ac:dyDescent="0.3">
      <c r="A7" t="s">
        <v>62</v>
      </c>
      <c r="B7">
        <v>9</v>
      </c>
      <c r="C7">
        <v>108</v>
      </c>
    </row>
    <row r="8" spans="1:10" x14ac:dyDescent="0.3">
      <c r="A8" t="s">
        <v>63</v>
      </c>
      <c r="B8">
        <v>4</v>
      </c>
      <c r="C8">
        <v>36</v>
      </c>
    </row>
    <row r="9" spans="1:10" x14ac:dyDescent="0.3">
      <c r="A9" t="s">
        <v>64</v>
      </c>
      <c r="B9">
        <v>4</v>
      </c>
      <c r="C9">
        <v>40</v>
      </c>
    </row>
    <row r="10" spans="1:10" x14ac:dyDescent="0.3">
      <c r="A10" t="s">
        <v>65</v>
      </c>
      <c r="B10">
        <v>10</v>
      </c>
      <c r="C10">
        <v>130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finance_ds</vt:lpstr>
      <vt:lpstr>Finance_ra</vt:lpstr>
      <vt:lpstr>Finance</vt:lpstr>
      <vt:lpstr>Healthcare_ds</vt:lpstr>
      <vt:lpstr>Healthcare_ra</vt:lpstr>
      <vt:lpstr>Healthcare</vt:lpstr>
      <vt:lpstr>IT_ds</vt:lpstr>
      <vt:lpstr>IT_RA</vt:lpstr>
      <vt:lpstr>IT</vt:lpstr>
      <vt:lpstr>Retail_ds</vt:lpstr>
      <vt:lpstr>Retail_ra</vt:lpstr>
      <vt:lpstr>Retail</vt:lpstr>
      <vt:lpstr>Manufacturing_ds</vt:lpstr>
      <vt:lpstr>Manufacturing_ra</vt:lpstr>
      <vt:lpstr>Manufacturing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Harshavardhan Nadiveedi</cp:lastModifiedBy>
  <dcterms:created xsi:type="dcterms:W3CDTF">2026-05-26T23:24:21Z</dcterms:created>
  <dcterms:modified xsi:type="dcterms:W3CDTF">2026-05-27T00:20:47Z</dcterms:modified>
</cp:coreProperties>
</file>